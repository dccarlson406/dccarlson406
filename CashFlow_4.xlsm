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GIT Main\"/>
    </mc:Choice>
  </mc:AlternateContent>
  <xr:revisionPtr revIDLastSave="0" documentId="13_ncr:1_{D0BF1C05-A8DF-45AD-BC59-B60BC2C62612}" xr6:coauthVersionLast="47" xr6:coauthVersionMax="47" xr10:uidLastSave="{00000000-0000-0000-0000-000000000000}"/>
  <bookViews>
    <workbookView xWindow="-26370" yWindow="330" windowWidth="24750" windowHeight="1500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7" i="1" l="1"/>
  <c r="C106" i="1"/>
  <c r="C107" i="1"/>
  <c r="C108" i="1"/>
  <c r="C116" i="1"/>
  <c r="C113" i="1"/>
  <c r="C109" i="1"/>
  <c r="C111" i="1"/>
  <c r="C119" i="1"/>
  <c r="C120" i="1"/>
  <c r="C110" i="1"/>
  <c r="C118" i="1"/>
  <c r="C115" i="1"/>
  <c r="C71" i="1"/>
  <c r="T38" i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35" i="1"/>
  <c r="C28" i="1"/>
  <c r="C29" i="1"/>
  <c r="C30" i="1"/>
  <c r="C37" i="1"/>
  <c r="C36" i="1"/>
  <c r="C31" i="1"/>
  <c r="C33" i="1"/>
  <c r="C50" i="1"/>
  <c r="C96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130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25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23" i="1"/>
  <c r="C103" i="1"/>
  <c r="C82" i="1"/>
  <c r="C74" i="1"/>
  <c r="C84" i="1"/>
  <c r="C65" i="1"/>
  <c r="C62" i="1"/>
  <c r="C51" i="1"/>
  <c r="C47" i="1"/>
  <c r="C54" i="1"/>
  <c r="C27" i="1"/>
  <c r="C59" i="1"/>
  <c r="C78" i="1"/>
  <c r="C58" i="1"/>
  <c r="C92" i="1"/>
  <c r="C100" i="1"/>
  <c r="C101" i="1"/>
  <c r="C99" i="1"/>
  <c r="C61" i="1"/>
  <c r="C53" i="1"/>
  <c r="C55" i="1"/>
  <c r="C91" i="1"/>
  <c r="C45" i="1"/>
  <c r="C44" i="1"/>
  <c r="C139" i="1"/>
  <c r="C56" i="1"/>
  <c r="C39" i="1"/>
  <c r="C42" i="1"/>
  <c r="C46" i="1"/>
  <c r="C98" i="1"/>
  <c r="C11" i="1"/>
  <c r="C40" i="1"/>
  <c r="C90" i="1"/>
  <c r="C10" i="1"/>
  <c r="C17" i="1"/>
  <c r="C38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32" i="1"/>
  <c r="C64" i="1"/>
  <c r="C132" i="1"/>
  <c r="V50" i="1"/>
  <c r="C136" i="1" s="1"/>
  <c r="C138" i="1"/>
  <c r="C4" i="1"/>
  <c r="C125" i="1"/>
  <c r="C133" i="1"/>
  <c r="C69" i="1"/>
  <c r="C126" i="1"/>
  <c r="C134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81" i="1"/>
  <c r="C88" i="1"/>
  <c r="C102" i="1"/>
  <c r="C185" i="1"/>
  <c r="C186" i="1"/>
  <c r="C187" i="1"/>
  <c r="C188" i="1"/>
  <c r="C189" i="1"/>
  <c r="C190" i="1"/>
  <c r="C94" i="1"/>
  <c r="C15" i="1"/>
  <c r="C8" i="1"/>
  <c r="C124" i="1"/>
  <c r="C77" i="1"/>
  <c r="C70" i="1"/>
  <c r="C19" i="1"/>
  <c r="C60" i="1"/>
  <c r="C6" i="1"/>
  <c r="C89" i="1"/>
  <c r="C141" i="1"/>
  <c r="C52" i="1"/>
  <c r="C73" i="1"/>
  <c r="C14" i="1"/>
  <c r="C7" i="1"/>
  <c r="C137" i="1"/>
  <c r="C43" i="1"/>
  <c r="C79" i="1"/>
  <c r="C72" i="1"/>
  <c r="C66" i="1"/>
  <c r="C63" i="1"/>
  <c r="C95" i="1"/>
  <c r="C135" i="1"/>
  <c r="C21" i="1"/>
  <c r="C163" i="1"/>
  <c r="C173" i="1"/>
  <c r="C164" i="1"/>
  <c r="C80" i="1"/>
  <c r="C172" i="1"/>
  <c r="C143" i="1"/>
  <c r="C145" i="1"/>
  <c r="C146" i="1"/>
  <c r="C168" i="1"/>
  <c r="C9" i="1"/>
  <c r="C161" i="1"/>
  <c r="C16" i="1"/>
  <c r="C57" i="1"/>
  <c r="C160" i="1"/>
  <c r="C104" i="1"/>
  <c r="C20" i="1"/>
  <c r="C129" i="1"/>
  <c r="C122" i="1"/>
  <c r="C112" i="1"/>
  <c r="C123" i="1"/>
  <c r="C97" i="1"/>
  <c r="C83" i="1"/>
  <c r="C127" i="1"/>
  <c r="C87" i="1"/>
  <c r="C48" i="1"/>
  <c r="C171" i="1"/>
  <c r="C49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114" i="1"/>
  <c r="C26" i="1"/>
  <c r="C147" i="1"/>
  <c r="C162" i="1"/>
  <c r="C121" i="1"/>
  <c r="C166" i="1"/>
  <c r="C140" i="1"/>
  <c r="K4" i="11"/>
  <c r="C128" i="1"/>
  <c r="C131" i="1"/>
  <c r="C75" i="1"/>
  <c r="Y42" i="1"/>
  <c r="C34" i="1"/>
  <c r="C24" i="1"/>
  <c r="C167" i="1"/>
  <c r="C13" i="1"/>
  <c r="C105" i="1"/>
  <c r="C41" i="1"/>
  <c r="C142" i="1"/>
  <c r="C165" i="1"/>
  <c r="C85" i="1"/>
  <c r="C144" i="1"/>
  <c r="C67" i="1"/>
  <c r="C18" i="1"/>
  <c r="C93" i="1"/>
  <c r="C86" i="1"/>
  <c r="F4" i="1"/>
  <c r="F5" i="1" s="1"/>
  <c r="G5" i="1"/>
  <c r="G4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22" i="1"/>
  <c r="C68" i="1"/>
  <c r="C12" i="1"/>
  <c r="V42" i="1"/>
  <c r="X43" i="1" s="1"/>
  <c r="U43" i="1" s="1"/>
  <c r="C148" i="1"/>
  <c r="C76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G26" i="1"/>
  <c r="H26" i="1" l="1"/>
  <c r="K27" i="11"/>
  <c r="F27" i="1"/>
  <c r="E26" i="1"/>
  <c r="G27" i="1"/>
  <c r="H27" i="1" l="1"/>
  <c r="K28" i="11"/>
  <c r="F28" i="1"/>
  <c r="E27" i="1"/>
  <c r="G28" i="1"/>
  <c r="H28" i="1" l="1"/>
  <c r="K29" i="1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G56" i="1"/>
  <c r="H56" i="1" l="1"/>
  <c r="F57" i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G70" i="1"/>
  <c r="H70" i="1" l="1"/>
  <c r="F71" i="1"/>
  <c r="E70" i="1"/>
  <c r="G71" i="1"/>
  <c r="H71" i="1" l="1"/>
  <c r="F72" i="1"/>
  <c r="E71" i="1"/>
  <c r="G72" i="1"/>
  <c r="H72" i="1" l="1"/>
  <c r="F73" i="1"/>
  <c r="E72" i="1"/>
  <c r="G73" i="1"/>
  <c r="H73" i="1" l="1"/>
  <c r="E73" i="1"/>
  <c r="F74" i="1"/>
  <c r="G74" i="1"/>
  <c r="E74" i="1" l="1"/>
  <c r="F75" i="1"/>
  <c r="H74" i="1"/>
  <c r="G75" i="1"/>
  <c r="H75" i="1" l="1"/>
  <c r="F76" i="1"/>
  <c r="E75" i="1"/>
  <c r="G76" i="1"/>
  <c r="H76" i="1" l="1"/>
  <c r="E76" i="1"/>
  <c r="F77" i="1"/>
  <c r="G77" i="1"/>
  <c r="H77" i="1" l="1"/>
  <c r="E77" i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G175" i="1"/>
  <c r="H175" i="1" l="1"/>
  <c r="F176" i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l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J26" i="1"/>
  <c r="J27" i="1"/>
  <c r="L30" i="1" l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J30" i="1"/>
  <c r="J31" i="1"/>
  <c r="L35" i="1" l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J35" i="1"/>
  <c r="J36" i="1"/>
  <c r="L39" i="1" l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J39" i="1"/>
  <c r="J40" i="1"/>
  <c r="L43" i="1" l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J43" i="1"/>
  <c r="J44" i="1"/>
  <c r="L48" i="1" l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J48" i="1"/>
  <c r="J49" i="1"/>
  <c r="L52" i="1" l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s="1"/>
  <c r="M55" i="1" s="1"/>
  <c r="N55" i="1" s="1"/>
  <c r="O55" i="1" s="1"/>
  <c r="P55" i="1" s="1"/>
  <c r="Q55" i="1" s="1"/>
  <c r="K56" i="1" s="1"/>
  <c r="J52" i="1"/>
  <c r="J53" i="1"/>
  <c r="J56" i="1" l="1"/>
  <c r="J57" i="1"/>
  <c r="L56" i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l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J61" i="1"/>
  <c r="J62" i="1"/>
  <c r="L65" i="1" l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J65" i="1"/>
  <c r="J66" i="1"/>
  <c r="L69" i="1" l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J69" i="1"/>
  <c r="J70" i="1"/>
  <c r="L74" i="1" l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J74" i="1"/>
  <c r="J75" i="1"/>
  <c r="L78" i="1" l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J78" i="1"/>
  <c r="J79" i="1"/>
  <c r="L83" i="1" l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J83" i="1"/>
  <c r="J84" i="1"/>
  <c r="L87" i="1" l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J87" i="1"/>
  <c r="J88" i="1"/>
  <c r="L91" i="1" l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  <c r="J91" i="1"/>
  <c r="J9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<sst xmlns="http://schemas.openxmlformats.org/spreadsheetml/2006/main" count="189" uniqueCount="65">
  <si>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</si>
  <si>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</si>
  <si>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</si>
  <si>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</si>
  <si>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</si>
  <si>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</si>
  <si>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</si>
  <si>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</si>
  <si>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</si>
  <si>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</si>
  <si>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</si>
  <si>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</si>
  <si>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</si>
  <si>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</si>
  <si>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</si>
  <si>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</si>
  <si>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</si>
  <si>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</si>
  <si>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</si>
  <si>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</si>
  <si>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</si>
  <si>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</si>
  <si>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</si>
  <si>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</si>
  <si>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</si>
  <si>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</si>
  <si>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Out</t>
  </si>
  <si>
    <t>In</t>
  </si>
  <si>
    <t>S</t>
  </si>
  <si>
    <t>Pay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</si>
  <si>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</si>
  <si>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</si>
  <si>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</si>
  <si>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</si>
  <si>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</si>
  <si>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</si>
  <si>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</si>
  <si>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</si>
  <si>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</si>
  <si>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</si>
  <si>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</si>
  <si>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</si>
  <si>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</si>
  <si>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</si>
  <si>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</si>
  <si>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</si>
  <si>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</si>
  <si>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</si>
  <si>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</si>
  <si>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</si>
  <si>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</si>
  <si>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</si>
  <si>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</si>
  <si>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</si>
  <si>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</si>
  <si>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</si>
  <si>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</si>
  <si>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SEP</t>
  </si>
  <si>
    <t>OCT</t>
  </si>
  <si>
    <t>NOV</t>
  </si>
  <si>
    <t>DEC</t>
  </si>
  <si>
    <t>JAN</t>
  </si>
  <si>
    <t>FEB</t>
  </si>
  <si>
    <t>MAR</t>
  </si>
  <si>
    <t>Landscape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</si>
</sst>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  <numFmt numFmtId="174" formatCode="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4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12" borderId="0" xfId="0" applyFont="1" applyFill="1" applyBorder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9" borderId="11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12" borderId="4" xfId="0" applyFont="1" applyFill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4" fontId="12" fillId="12" borderId="11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3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13" xfId="0" applyFont="1" applyBorder="1" applyAlignment="1">
      <alignment horizont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0" fontId="13" fillId="0" borderId="0" xfId="0" applyNumberFormat="1" applyFont="1" applyBorder="1" applyAlignment="1">
      <alignment vertical="center" textRotation="255"/>
    </xf>
    <xf numFmtId="165" fontId="12" fillId="0" borderId="0" xfId="0" applyNumberFormat="1" applyFont="1">
      <alignment horizontal="center" vertical="center"/>
    </xf>
    <xf numFmtId="174" fontId="12" fillId="0" borderId="0" xfId="0" applyNumberFormat="1" applyFont="1">
      <alignment horizontal="center" vertical="center"/>
    </xf>
    <xf numFmtId="164" fontId="12" fillId="0" borderId="0" xfId="15" applyNumberFormat="1" applyFont="1" applyFill="1" applyBorder="1" applyAlignment="1">
      <alignment horizont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6" xfId="0" applyFont="1" applyBorder="1">
      <alignment horizontal="center" vertical="center"/>
    </xf>
    <xf numFmtId="44" fontId="12" fillId="0" borderId="0" xfId="1" applyFont="1" applyAlignment="1">
      <alignment horizontal="center" vertical="center"/>
    </xf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45591</c:v>
                </c:pt>
                <c:pt idx="1">
                  <c:v>45592</c:v>
                </c:pt>
                <c:pt idx="2">
                  <c:v>45593</c:v>
                </c:pt>
                <c:pt idx="3">
                  <c:v>45594</c:v>
                </c:pt>
                <c:pt idx="4">
                  <c:v>45595</c:v>
                </c:pt>
                <c:pt idx="5">
                  <c:v>45596</c:v>
                </c:pt>
                <c:pt idx="6">
                  <c:v>45597</c:v>
                </c:pt>
                <c:pt idx="7">
                  <c:v>45598</c:v>
                </c:pt>
                <c:pt idx="8">
                  <c:v>45599</c:v>
                </c:pt>
                <c:pt idx="9">
                  <c:v>45600</c:v>
                </c:pt>
                <c:pt idx="10">
                  <c:v>45601</c:v>
                </c:pt>
                <c:pt idx="11">
                  <c:v>45602</c:v>
                </c:pt>
                <c:pt idx="12">
                  <c:v>45603</c:v>
                </c:pt>
                <c:pt idx="13">
                  <c:v>45604</c:v>
                </c:pt>
                <c:pt idx="14">
                  <c:v>45605</c:v>
                </c:pt>
                <c:pt idx="15">
                  <c:v>45606</c:v>
                </c:pt>
                <c:pt idx="16">
                  <c:v>45607</c:v>
                </c:pt>
                <c:pt idx="17">
                  <c:v>45608</c:v>
                </c:pt>
                <c:pt idx="18">
                  <c:v>45609</c:v>
                </c:pt>
                <c:pt idx="19">
                  <c:v>45610</c:v>
                </c:pt>
                <c:pt idx="20">
                  <c:v>45611</c:v>
                </c:pt>
                <c:pt idx="21">
                  <c:v>45612</c:v>
                </c:pt>
                <c:pt idx="22">
                  <c:v>45613</c:v>
                </c:pt>
                <c:pt idx="23">
                  <c:v>45614</c:v>
                </c:pt>
                <c:pt idx="24">
                  <c:v>45615</c:v>
                </c:pt>
                <c:pt idx="25">
                  <c:v>45616</c:v>
                </c:pt>
                <c:pt idx="26">
                  <c:v>45617</c:v>
                </c:pt>
                <c:pt idx="27">
                  <c:v>45618</c:v>
                </c:pt>
                <c:pt idx="28">
                  <c:v>45619</c:v>
                </c:pt>
                <c:pt idx="29">
                  <c:v>45620</c:v>
                </c:pt>
                <c:pt idx="30">
                  <c:v>45621</c:v>
                </c:pt>
                <c:pt idx="31">
                  <c:v>45622</c:v>
                </c:pt>
                <c:pt idx="32">
                  <c:v>45623</c:v>
                </c:pt>
                <c:pt idx="33">
                  <c:v>45624</c:v>
                </c:pt>
                <c:pt idx="34">
                  <c:v>45625</c:v>
                </c:pt>
                <c:pt idx="35">
                  <c:v>45626</c:v>
                </c:pt>
                <c:pt idx="36">
                  <c:v>45627</c:v>
                </c:pt>
                <c:pt idx="37">
                  <c:v>45628</c:v>
                </c:pt>
                <c:pt idx="38">
                  <c:v>45629</c:v>
                </c:pt>
                <c:pt idx="39">
                  <c:v>45630</c:v>
                </c:pt>
                <c:pt idx="40">
                  <c:v>45631</c:v>
                </c:pt>
                <c:pt idx="41">
                  <c:v>45632</c:v>
                </c:pt>
                <c:pt idx="42">
                  <c:v>45633</c:v>
                </c:pt>
                <c:pt idx="43">
                  <c:v>45634</c:v>
                </c:pt>
                <c:pt idx="44">
                  <c:v>45635</c:v>
                </c:pt>
                <c:pt idx="45">
                  <c:v>45636</c:v>
                </c:pt>
                <c:pt idx="46">
                  <c:v>45637</c:v>
                </c:pt>
                <c:pt idx="47">
                  <c:v>45638</c:v>
                </c:pt>
                <c:pt idx="48">
                  <c:v>45639</c:v>
                </c:pt>
                <c:pt idx="49">
                  <c:v>45640</c:v>
                </c:pt>
                <c:pt idx="50">
                  <c:v>45641</c:v>
                </c:pt>
                <c:pt idx="51">
                  <c:v>45642</c:v>
                </c:pt>
                <c:pt idx="52">
                  <c:v>45643</c:v>
                </c:pt>
                <c:pt idx="53">
                  <c:v>45644</c:v>
                </c:pt>
                <c:pt idx="54">
                  <c:v>45645</c:v>
                </c:pt>
                <c:pt idx="55">
                  <c:v>45646</c:v>
                </c:pt>
                <c:pt idx="56">
                  <c:v>45647</c:v>
                </c:pt>
                <c:pt idx="57">
                  <c:v>45648</c:v>
                </c:pt>
                <c:pt idx="58">
                  <c:v>45649</c:v>
                </c:pt>
                <c:pt idx="59">
                  <c:v>45650</c:v>
                </c:pt>
                <c:pt idx="60">
                  <c:v>45651</c:v>
                </c:pt>
                <c:pt idx="61">
                  <c:v>45652</c:v>
                </c:pt>
                <c:pt idx="62">
                  <c:v>45653</c:v>
                </c:pt>
                <c:pt idx="63">
                  <c:v>45654</c:v>
                </c:pt>
                <c:pt idx="64">
                  <c:v>45655</c:v>
                </c:pt>
                <c:pt idx="65">
                  <c:v>45656</c:v>
                </c:pt>
                <c:pt idx="66">
                  <c:v>45657</c:v>
                </c:pt>
                <c:pt idx="67">
                  <c:v>45658</c:v>
                </c:pt>
                <c:pt idx="68">
                  <c:v>45659</c:v>
                </c:pt>
                <c:pt idx="69">
                  <c:v>45660</c:v>
                </c:pt>
                <c:pt idx="70">
                  <c:v>45661</c:v>
                </c:pt>
                <c:pt idx="71">
                  <c:v>45662</c:v>
                </c:pt>
                <c:pt idx="72">
                  <c:v>45663</c:v>
                </c:pt>
                <c:pt idx="73">
                  <c:v>45664</c:v>
                </c:pt>
                <c:pt idx="74">
                  <c:v>45665</c:v>
                </c:pt>
                <c:pt idx="75">
                  <c:v>45666</c:v>
                </c:pt>
                <c:pt idx="76">
                  <c:v>45667</c:v>
                </c:pt>
                <c:pt idx="77">
                  <c:v>45668</c:v>
                </c:pt>
                <c:pt idx="78">
                  <c:v>45669</c:v>
                </c:pt>
                <c:pt idx="79">
                  <c:v>45670</c:v>
                </c:pt>
                <c:pt idx="80">
                  <c:v>45671</c:v>
                </c:pt>
                <c:pt idx="81">
                  <c:v>45672</c:v>
                </c:pt>
                <c:pt idx="82">
                  <c:v>45673</c:v>
                </c:pt>
                <c:pt idx="83">
                  <c:v>45674</c:v>
                </c:pt>
                <c:pt idx="84">
                  <c:v>45675</c:v>
                </c:pt>
                <c:pt idx="85">
                  <c:v>45676</c:v>
                </c:pt>
                <c:pt idx="86">
                  <c:v>45677</c:v>
                </c:pt>
                <c:pt idx="87">
                  <c:v>45678</c:v>
                </c:pt>
                <c:pt idx="88">
                  <c:v>45679</c:v>
                </c:pt>
                <c:pt idx="89">
                  <c:v>45680</c:v>
                </c:pt>
                <c:pt idx="90">
                  <c:v>45681</c:v>
                </c:pt>
                <c:pt idx="91">
                  <c:v>45682</c:v>
                </c:pt>
                <c:pt idx="92">
                  <c:v>45683</c:v>
                </c:pt>
                <c:pt idx="93">
                  <c:v>45684</c:v>
                </c:pt>
                <c:pt idx="94">
                  <c:v>45685</c:v>
                </c:pt>
                <c:pt idx="95">
                  <c:v>45686</c:v>
                </c:pt>
                <c:pt idx="96">
                  <c:v>45687</c:v>
                </c:pt>
                <c:pt idx="97">
                  <c:v>45688</c:v>
                </c:pt>
                <c:pt idx="98">
                  <c:v>45689</c:v>
                </c:pt>
                <c:pt idx="99">
                  <c:v>45690</c:v>
                </c:pt>
                <c:pt idx="100">
                  <c:v>45691</c:v>
                </c:pt>
                <c:pt idx="101">
                  <c:v>45692</c:v>
                </c:pt>
                <c:pt idx="102">
                  <c:v>45693</c:v>
                </c:pt>
                <c:pt idx="103">
                  <c:v>45694</c:v>
                </c:pt>
                <c:pt idx="104">
                  <c:v>45695</c:v>
                </c:pt>
                <c:pt idx="105">
                  <c:v>45696</c:v>
                </c:pt>
                <c:pt idx="106">
                  <c:v>45697</c:v>
                </c:pt>
                <c:pt idx="107">
                  <c:v>45698</c:v>
                </c:pt>
                <c:pt idx="108">
                  <c:v>45699</c:v>
                </c:pt>
                <c:pt idx="109">
                  <c:v>45700</c:v>
                </c:pt>
                <c:pt idx="110">
                  <c:v>45701</c:v>
                </c:pt>
                <c:pt idx="111">
                  <c:v>45702</c:v>
                </c:pt>
                <c:pt idx="112">
                  <c:v>45703</c:v>
                </c:pt>
                <c:pt idx="113">
                  <c:v>45704</c:v>
                </c:pt>
                <c:pt idx="114">
                  <c:v>45705</c:v>
                </c:pt>
                <c:pt idx="115">
                  <c:v>45706</c:v>
                </c:pt>
                <c:pt idx="116">
                  <c:v>45707</c:v>
                </c:pt>
                <c:pt idx="117">
                  <c:v>45708</c:v>
                </c:pt>
                <c:pt idx="118">
                  <c:v>45709</c:v>
                </c:pt>
                <c:pt idx="119">
                  <c:v>45710</c:v>
                </c:pt>
                <c:pt idx="120">
                  <c:v>45711</c:v>
                </c:pt>
                <c:pt idx="121">
                  <c:v>45712</c:v>
                </c:pt>
                <c:pt idx="122">
                  <c:v>45713</c:v>
                </c:pt>
                <c:pt idx="123">
                  <c:v>45714</c:v>
                </c:pt>
                <c:pt idx="124">
                  <c:v>45715</c:v>
                </c:pt>
                <c:pt idx="125">
                  <c:v>45716</c:v>
                </c:pt>
                <c:pt idx="126">
                  <c:v>45717</c:v>
                </c:pt>
                <c:pt idx="127">
                  <c:v>45718</c:v>
                </c:pt>
                <c:pt idx="128">
                  <c:v>45719</c:v>
                </c:pt>
                <c:pt idx="129">
                  <c:v>45720</c:v>
                </c:pt>
                <c:pt idx="130">
                  <c:v>45721</c:v>
                </c:pt>
                <c:pt idx="131">
                  <c:v>45722</c:v>
                </c:pt>
                <c:pt idx="132">
                  <c:v>45723</c:v>
                </c:pt>
                <c:pt idx="133">
                  <c:v>45724</c:v>
                </c:pt>
                <c:pt idx="134">
                  <c:v>45725</c:v>
                </c:pt>
                <c:pt idx="135">
                  <c:v>45726</c:v>
                </c:pt>
                <c:pt idx="136">
                  <c:v>45727</c:v>
                </c:pt>
                <c:pt idx="137">
                  <c:v>45728</c:v>
                </c:pt>
                <c:pt idx="138">
                  <c:v>45729</c:v>
                </c:pt>
                <c:pt idx="139">
                  <c:v>45730</c:v>
                </c:pt>
                <c:pt idx="140">
                  <c:v>45731</c:v>
                </c:pt>
                <c:pt idx="141">
                  <c:v>45732</c:v>
                </c:pt>
                <c:pt idx="142">
                  <c:v>45733</c:v>
                </c:pt>
                <c:pt idx="143">
                  <c:v>45734</c:v>
                </c:pt>
                <c:pt idx="144">
                  <c:v>45735</c:v>
                </c:pt>
                <c:pt idx="145">
                  <c:v>45736</c:v>
                </c:pt>
                <c:pt idx="146">
                  <c:v>45737</c:v>
                </c:pt>
                <c:pt idx="147">
                  <c:v>45738</c:v>
                </c:pt>
                <c:pt idx="148">
                  <c:v>45739</c:v>
                </c:pt>
                <c:pt idx="149">
                  <c:v>45740</c:v>
                </c:pt>
                <c:pt idx="150">
                  <c:v>45741</c:v>
                </c:pt>
                <c:pt idx="151">
                  <c:v>45742</c:v>
                </c:pt>
                <c:pt idx="152">
                  <c:v>45743</c:v>
                </c:pt>
                <c:pt idx="153">
                  <c:v>45744</c:v>
                </c:pt>
                <c:pt idx="154">
                  <c:v>45745</c:v>
                </c:pt>
                <c:pt idx="155">
                  <c:v>45746</c:v>
                </c:pt>
                <c:pt idx="156">
                  <c:v>45747</c:v>
                </c:pt>
                <c:pt idx="157">
                  <c:v>45748</c:v>
                </c:pt>
                <c:pt idx="158">
                  <c:v>45749</c:v>
                </c:pt>
                <c:pt idx="159">
                  <c:v>45750</c:v>
                </c:pt>
                <c:pt idx="160">
                  <c:v>45751</c:v>
                </c:pt>
                <c:pt idx="161">
                  <c:v>45752</c:v>
                </c:pt>
                <c:pt idx="162">
                  <c:v>45753</c:v>
                </c:pt>
                <c:pt idx="163">
                  <c:v>45754</c:v>
                </c:pt>
                <c:pt idx="164">
                  <c:v>45755</c:v>
                </c:pt>
                <c:pt idx="165">
                  <c:v>45756</c:v>
                </c:pt>
                <c:pt idx="166">
                  <c:v>45757</c:v>
                </c:pt>
                <c:pt idx="167">
                  <c:v>45758</c:v>
                </c:pt>
                <c:pt idx="168">
                  <c:v>45759</c:v>
                </c:pt>
                <c:pt idx="169">
                  <c:v>45760</c:v>
                </c:pt>
                <c:pt idx="170">
                  <c:v>45761</c:v>
                </c:pt>
                <c:pt idx="171">
                  <c:v>45762</c:v>
                </c:pt>
                <c:pt idx="172">
                  <c:v>45763</c:v>
                </c:pt>
                <c:pt idx="173">
                  <c:v>45764</c:v>
                </c:pt>
                <c:pt idx="174">
                  <c:v>45765</c:v>
                </c:pt>
                <c:pt idx="175">
                  <c:v>45766</c:v>
                </c:pt>
                <c:pt idx="176">
                  <c:v>45767</c:v>
                </c:pt>
                <c:pt idx="177">
                  <c:v>45768</c:v>
                </c:pt>
                <c:pt idx="178">
                  <c:v>45769</c:v>
                </c:pt>
                <c:pt idx="179">
                  <c:v>45770</c:v>
                </c:pt>
                <c:pt idx="180">
                  <c:v>45771</c:v>
                </c:pt>
                <c:pt idx="181">
                  <c:v>45772</c:v>
                </c:pt>
                <c:pt idx="182">
                  <c:v>45773</c:v>
                </c:pt>
                <c:pt idx="183">
                  <c:v>45774</c:v>
                </c:pt>
                <c:pt idx="184">
                  <c:v>45775</c:v>
                </c:pt>
                <c:pt idx="185">
                  <c:v>45776</c:v>
                </c:pt>
                <c:pt idx="186">
                  <c:v>45777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9724</c:v>
                </c:pt>
                <c:pt idx="1">
                  <c:v>9724</c:v>
                </c:pt>
                <c:pt idx="2">
                  <c:v>9659</c:v>
                </c:pt>
                <c:pt idx="3">
                  <c:v>9659</c:v>
                </c:pt>
                <c:pt idx="4">
                  <c:v>9469</c:v>
                </c:pt>
                <c:pt idx="5">
                  <c:v>9469</c:v>
                </c:pt>
                <c:pt idx="6">
                  <c:v>12381.56</c:v>
                </c:pt>
                <c:pt idx="7">
                  <c:v>12381.56</c:v>
                </c:pt>
                <c:pt idx="8">
                  <c:v>12381.56</c:v>
                </c:pt>
                <c:pt idx="9">
                  <c:v>12271.56</c:v>
                </c:pt>
                <c:pt idx="10">
                  <c:v>12271.56</c:v>
                </c:pt>
                <c:pt idx="11">
                  <c:v>12271.56</c:v>
                </c:pt>
                <c:pt idx="12">
                  <c:v>12001.56</c:v>
                </c:pt>
                <c:pt idx="13">
                  <c:v>12001.56</c:v>
                </c:pt>
                <c:pt idx="14">
                  <c:v>12001.56</c:v>
                </c:pt>
                <c:pt idx="15">
                  <c:v>12001.56</c:v>
                </c:pt>
                <c:pt idx="16">
                  <c:v>12001.56</c:v>
                </c:pt>
                <c:pt idx="17">
                  <c:v>11250.56</c:v>
                </c:pt>
                <c:pt idx="18">
                  <c:v>10320.56</c:v>
                </c:pt>
                <c:pt idx="19">
                  <c:v>10215.56</c:v>
                </c:pt>
                <c:pt idx="20">
                  <c:v>12188.119999999999</c:v>
                </c:pt>
                <c:pt idx="21">
                  <c:v>12188.119999999999</c:v>
                </c:pt>
                <c:pt idx="22">
                  <c:v>12188.119999999999</c:v>
                </c:pt>
                <c:pt idx="23">
                  <c:v>12018.119999999999</c:v>
                </c:pt>
                <c:pt idx="24">
                  <c:v>12018.119999999999</c:v>
                </c:pt>
                <c:pt idx="25">
                  <c:v>11718.119999999999</c:v>
                </c:pt>
                <c:pt idx="26">
                  <c:v>11718.119999999999</c:v>
                </c:pt>
                <c:pt idx="27">
                  <c:v>11718.119999999999</c:v>
                </c:pt>
                <c:pt idx="28">
                  <c:v>11718.119999999999</c:v>
                </c:pt>
                <c:pt idx="29">
                  <c:v>11718.119999999999</c:v>
                </c:pt>
                <c:pt idx="30">
                  <c:v>11718.119999999999</c:v>
                </c:pt>
                <c:pt idx="31">
                  <c:v>11718.119999999999</c:v>
                </c:pt>
                <c:pt idx="32">
                  <c:v>12945.119999999999</c:v>
                </c:pt>
                <c:pt idx="33">
                  <c:v>12805.119999999999</c:v>
                </c:pt>
                <c:pt idx="34">
                  <c:v>15717.679999999998</c:v>
                </c:pt>
                <c:pt idx="35">
                  <c:v>15717.679999999998</c:v>
                </c:pt>
                <c:pt idx="36">
                  <c:v>14667.679999999998</c:v>
                </c:pt>
                <c:pt idx="37">
                  <c:v>14557.679999999998</c:v>
                </c:pt>
                <c:pt idx="38">
                  <c:v>14557.679999999998</c:v>
                </c:pt>
                <c:pt idx="39">
                  <c:v>14557.679999999998</c:v>
                </c:pt>
                <c:pt idx="40">
                  <c:v>14557.679999999998</c:v>
                </c:pt>
                <c:pt idx="41">
                  <c:v>14557.679999999998</c:v>
                </c:pt>
                <c:pt idx="42">
                  <c:v>14287.679999999998</c:v>
                </c:pt>
                <c:pt idx="43">
                  <c:v>14287.679999999998</c:v>
                </c:pt>
                <c:pt idx="44">
                  <c:v>14287.679999999998</c:v>
                </c:pt>
                <c:pt idx="45">
                  <c:v>14011.679999999998</c:v>
                </c:pt>
                <c:pt idx="46">
                  <c:v>14011.679999999998</c:v>
                </c:pt>
                <c:pt idx="47">
                  <c:v>13536.679999999998</c:v>
                </c:pt>
                <c:pt idx="48">
                  <c:v>15519.239999999998</c:v>
                </c:pt>
                <c:pt idx="49">
                  <c:v>15414.239999999998</c:v>
                </c:pt>
                <c:pt idx="50">
                  <c:v>14474.239999999998</c:v>
                </c:pt>
                <c:pt idx="51">
                  <c:v>14304.239999999998</c:v>
                </c:pt>
                <c:pt idx="52">
                  <c:v>14304.239999999998</c:v>
                </c:pt>
                <c:pt idx="53">
                  <c:v>14304.239999999998</c:v>
                </c:pt>
                <c:pt idx="54">
                  <c:v>14304.239999999998</c:v>
                </c:pt>
                <c:pt idx="55">
                  <c:v>14004.239999999998</c:v>
                </c:pt>
                <c:pt idx="56">
                  <c:v>14004.239999999998</c:v>
                </c:pt>
                <c:pt idx="57">
                  <c:v>14004.239999999998</c:v>
                </c:pt>
                <c:pt idx="58">
                  <c:v>14004.239999999998</c:v>
                </c:pt>
                <c:pt idx="59">
                  <c:v>14004.239999999998</c:v>
                </c:pt>
                <c:pt idx="60">
                  <c:v>15231.239999999998</c:v>
                </c:pt>
                <c:pt idx="61">
                  <c:v>15231.239999999998</c:v>
                </c:pt>
                <c:pt idx="62">
                  <c:v>18143.8</c:v>
                </c:pt>
                <c:pt idx="63">
                  <c:v>18003.8</c:v>
                </c:pt>
                <c:pt idx="64">
                  <c:v>18003.8</c:v>
                </c:pt>
                <c:pt idx="65">
                  <c:v>17893.8</c:v>
                </c:pt>
                <c:pt idx="66">
                  <c:v>17893.8</c:v>
                </c:pt>
                <c:pt idx="67">
                  <c:v>16843.8</c:v>
                </c:pt>
                <c:pt idx="68">
                  <c:v>16843.8</c:v>
                </c:pt>
                <c:pt idx="69">
                  <c:v>16843.8</c:v>
                </c:pt>
                <c:pt idx="70">
                  <c:v>16843.8</c:v>
                </c:pt>
                <c:pt idx="71">
                  <c:v>16843.8</c:v>
                </c:pt>
                <c:pt idx="72">
                  <c:v>16843.8</c:v>
                </c:pt>
                <c:pt idx="73">
                  <c:v>16573.8</c:v>
                </c:pt>
                <c:pt idx="74">
                  <c:v>16573.8</c:v>
                </c:pt>
                <c:pt idx="75">
                  <c:v>16573.8</c:v>
                </c:pt>
                <c:pt idx="76">
                  <c:v>19210.36</c:v>
                </c:pt>
                <c:pt idx="77">
                  <c:v>19210.36</c:v>
                </c:pt>
                <c:pt idx="78">
                  <c:v>18735.36</c:v>
                </c:pt>
                <c:pt idx="79">
                  <c:v>17695.36</c:v>
                </c:pt>
                <c:pt idx="80">
                  <c:v>17590.36</c:v>
                </c:pt>
                <c:pt idx="81">
                  <c:v>16650.36</c:v>
                </c:pt>
                <c:pt idx="82">
                  <c:v>16650.36</c:v>
                </c:pt>
                <c:pt idx="83">
                  <c:v>16650.36</c:v>
                </c:pt>
                <c:pt idx="84">
                  <c:v>16650.36</c:v>
                </c:pt>
                <c:pt idx="85">
                  <c:v>16650.36</c:v>
                </c:pt>
                <c:pt idx="86">
                  <c:v>16290.36</c:v>
                </c:pt>
                <c:pt idx="87">
                  <c:v>16290.36</c:v>
                </c:pt>
                <c:pt idx="88">
                  <c:v>17517.36</c:v>
                </c:pt>
                <c:pt idx="89">
                  <c:v>17517.36</c:v>
                </c:pt>
                <c:pt idx="90">
                  <c:v>20429.920000000002</c:v>
                </c:pt>
                <c:pt idx="91">
                  <c:v>20429.920000000002</c:v>
                </c:pt>
                <c:pt idx="92">
                  <c:v>20429.920000000002</c:v>
                </c:pt>
                <c:pt idx="93">
                  <c:v>20319.920000000002</c:v>
                </c:pt>
                <c:pt idx="94">
                  <c:v>20179.920000000002</c:v>
                </c:pt>
                <c:pt idx="95">
                  <c:v>20179.920000000002</c:v>
                </c:pt>
                <c:pt idx="96">
                  <c:v>20179.920000000002</c:v>
                </c:pt>
                <c:pt idx="97">
                  <c:v>20179.920000000002</c:v>
                </c:pt>
                <c:pt idx="98">
                  <c:v>19129.920000000002</c:v>
                </c:pt>
                <c:pt idx="99">
                  <c:v>19129.920000000002</c:v>
                </c:pt>
                <c:pt idx="100">
                  <c:v>19129.920000000002</c:v>
                </c:pt>
                <c:pt idx="101">
                  <c:v>19129.920000000002</c:v>
                </c:pt>
                <c:pt idx="102">
                  <c:v>19129.920000000002</c:v>
                </c:pt>
                <c:pt idx="103">
                  <c:v>19129.920000000002</c:v>
                </c:pt>
                <c:pt idx="104">
                  <c:v>21772.480000000003</c:v>
                </c:pt>
                <c:pt idx="105">
                  <c:v>21772.480000000003</c:v>
                </c:pt>
                <c:pt idx="106">
                  <c:v>21772.480000000003</c:v>
                </c:pt>
                <c:pt idx="107">
                  <c:v>21386.480000000003</c:v>
                </c:pt>
                <c:pt idx="108">
                  <c:v>21386.480000000003</c:v>
                </c:pt>
                <c:pt idx="109">
                  <c:v>20911.480000000003</c:v>
                </c:pt>
                <c:pt idx="110">
                  <c:v>19981.480000000003</c:v>
                </c:pt>
                <c:pt idx="111">
                  <c:v>19876.480000000003</c:v>
                </c:pt>
                <c:pt idx="112">
                  <c:v>18936.480000000003</c:v>
                </c:pt>
                <c:pt idx="113">
                  <c:v>18936.480000000003</c:v>
                </c:pt>
                <c:pt idx="114">
                  <c:v>18876.480000000003</c:v>
                </c:pt>
                <c:pt idx="115">
                  <c:v>18876.480000000003</c:v>
                </c:pt>
                <c:pt idx="116">
                  <c:v>18876.480000000003</c:v>
                </c:pt>
                <c:pt idx="117">
                  <c:v>18576.480000000003</c:v>
                </c:pt>
                <c:pt idx="118">
                  <c:v>21489.040000000005</c:v>
                </c:pt>
                <c:pt idx="119">
                  <c:v>21489.040000000005</c:v>
                </c:pt>
                <c:pt idx="120">
                  <c:v>21489.040000000005</c:v>
                </c:pt>
                <c:pt idx="121">
                  <c:v>21379.040000000005</c:v>
                </c:pt>
                <c:pt idx="122">
                  <c:v>21379.040000000005</c:v>
                </c:pt>
                <c:pt idx="123">
                  <c:v>22606.040000000005</c:v>
                </c:pt>
                <c:pt idx="124">
                  <c:v>22606.040000000005</c:v>
                </c:pt>
                <c:pt idx="125">
                  <c:v>22466.040000000005</c:v>
                </c:pt>
                <c:pt idx="126">
                  <c:v>21416.040000000005</c:v>
                </c:pt>
                <c:pt idx="127">
                  <c:v>21416.040000000005</c:v>
                </c:pt>
                <c:pt idx="128">
                  <c:v>21416.040000000005</c:v>
                </c:pt>
                <c:pt idx="129">
                  <c:v>21416.040000000005</c:v>
                </c:pt>
                <c:pt idx="130">
                  <c:v>21416.040000000005</c:v>
                </c:pt>
                <c:pt idx="131">
                  <c:v>21416.040000000005</c:v>
                </c:pt>
                <c:pt idx="132">
                  <c:v>24058.600000000006</c:v>
                </c:pt>
                <c:pt idx="133">
                  <c:v>24058.600000000006</c:v>
                </c:pt>
                <c:pt idx="134">
                  <c:v>24058.600000000006</c:v>
                </c:pt>
                <c:pt idx="135">
                  <c:v>23672.600000000006</c:v>
                </c:pt>
                <c:pt idx="136">
                  <c:v>23672.600000000006</c:v>
                </c:pt>
                <c:pt idx="137">
                  <c:v>23197.600000000006</c:v>
                </c:pt>
                <c:pt idx="138">
                  <c:v>22267.600000000006</c:v>
                </c:pt>
                <c:pt idx="139">
                  <c:v>22162.600000000006</c:v>
                </c:pt>
                <c:pt idx="140">
                  <c:v>21222.600000000006</c:v>
                </c:pt>
                <c:pt idx="141">
                  <c:v>21222.600000000006</c:v>
                </c:pt>
                <c:pt idx="142">
                  <c:v>21162.600000000006</c:v>
                </c:pt>
                <c:pt idx="143">
                  <c:v>21162.600000000006</c:v>
                </c:pt>
                <c:pt idx="144">
                  <c:v>21162.600000000006</c:v>
                </c:pt>
                <c:pt idx="145">
                  <c:v>20862.600000000006</c:v>
                </c:pt>
                <c:pt idx="146">
                  <c:v>23775.160000000007</c:v>
                </c:pt>
                <c:pt idx="147">
                  <c:v>23775.160000000007</c:v>
                </c:pt>
                <c:pt idx="148">
                  <c:v>23775.160000000007</c:v>
                </c:pt>
                <c:pt idx="149">
                  <c:v>23665.160000000007</c:v>
                </c:pt>
                <c:pt idx="150">
                  <c:v>23665.160000000007</c:v>
                </c:pt>
                <c:pt idx="151">
                  <c:v>24892.160000000007</c:v>
                </c:pt>
                <c:pt idx="152">
                  <c:v>24892.160000000007</c:v>
                </c:pt>
                <c:pt idx="153">
                  <c:v>24752.160000000007</c:v>
                </c:pt>
                <c:pt idx="154">
                  <c:v>24752.160000000007</c:v>
                </c:pt>
                <c:pt idx="155">
                  <c:v>24752.160000000007</c:v>
                </c:pt>
                <c:pt idx="156">
                  <c:v>24752.160000000007</c:v>
                </c:pt>
                <c:pt idx="157">
                  <c:v>23702.160000000007</c:v>
                </c:pt>
                <c:pt idx="158">
                  <c:v>23702.160000000007</c:v>
                </c:pt>
                <c:pt idx="159">
                  <c:v>23702.160000000007</c:v>
                </c:pt>
                <c:pt idx="160">
                  <c:v>26614.720000000008</c:v>
                </c:pt>
                <c:pt idx="161">
                  <c:v>26614.720000000008</c:v>
                </c:pt>
                <c:pt idx="162">
                  <c:v>26614.720000000008</c:v>
                </c:pt>
                <c:pt idx="163">
                  <c:v>26234.720000000008</c:v>
                </c:pt>
                <c:pt idx="164">
                  <c:v>26234.720000000008</c:v>
                </c:pt>
                <c:pt idx="165">
                  <c:v>26234.720000000008</c:v>
                </c:pt>
                <c:pt idx="166">
                  <c:v>25958.720000000008</c:v>
                </c:pt>
                <c:pt idx="167">
                  <c:v>25958.720000000008</c:v>
                </c:pt>
                <c:pt idx="168">
                  <c:v>25483.720000000008</c:v>
                </c:pt>
                <c:pt idx="169">
                  <c:v>24553.720000000008</c:v>
                </c:pt>
                <c:pt idx="170">
                  <c:v>24448.720000000008</c:v>
                </c:pt>
                <c:pt idx="171">
                  <c:v>23508.720000000008</c:v>
                </c:pt>
                <c:pt idx="172">
                  <c:v>23508.720000000008</c:v>
                </c:pt>
                <c:pt idx="173">
                  <c:v>23508.720000000008</c:v>
                </c:pt>
                <c:pt idx="174">
                  <c:v>26421.28000000001</c:v>
                </c:pt>
                <c:pt idx="175">
                  <c:v>26421.28000000001</c:v>
                </c:pt>
                <c:pt idx="176">
                  <c:v>26121.28000000001</c:v>
                </c:pt>
                <c:pt idx="177">
                  <c:v>25951.28000000001</c:v>
                </c:pt>
                <c:pt idx="178">
                  <c:v>25951.28000000001</c:v>
                </c:pt>
                <c:pt idx="179">
                  <c:v>27178.28000000001</c:v>
                </c:pt>
                <c:pt idx="180">
                  <c:v>27178.28000000001</c:v>
                </c:pt>
                <c:pt idx="181">
                  <c:v>27178.28000000001</c:v>
                </c:pt>
                <c:pt idx="182">
                  <c:v>27178.28000000001</c:v>
                </c:pt>
                <c:pt idx="183">
                  <c:v>27178.28000000001</c:v>
                </c:pt>
                <c:pt idx="184">
                  <c:v>27038.28000000001</c:v>
                </c:pt>
                <c:pt idx="185">
                  <c:v>27038.28000000001</c:v>
                </c:pt>
                <c:pt idx="186">
                  <c:v>27038.28000000001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3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checked="Checked" noThreeD="1"/>
</file>

<file path=xl/ctrlProps/ctrlProp7.xml><?xml version="1.0" encoding="utf-8"?>
<formControlPr xmlns="http://schemas.microsoft.com/office/spreadsheetml/2009/9/main" objectType="CheckBox" checked="Checked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351197</xdr:colOff>
      <xdr:row>13</xdr:row>
      <xdr:rowOff>29467</xdr:rowOff>
    </xdr:from>
    <xdr:to>
      <xdr:col>22</xdr:col>
      <xdr:colOff>573630</xdr:colOff>
      <xdr:row>13</xdr:row>
      <xdr:rowOff>42580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447572" y="2525017"/>
          <a:ext cx="5585008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9525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19050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9525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9525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19050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19050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351197</xdr:colOff>
      <xdr:row>11</xdr:row>
      <xdr:rowOff>181867</xdr:rowOff>
    </xdr:from>
    <xdr:to>
      <xdr:col>22</xdr:col>
      <xdr:colOff>573630</xdr:colOff>
      <xdr:row>12</xdr:row>
      <xdr:rowOff>4480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447572" y="2296417"/>
          <a:ext cx="5585008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="85" zoomScaleNormal="85" workbookViewId="0">
      <selection activeCell="F3" sqref="F3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8" style="32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4" t="s">
        <v>10</v>
      </c>
      <c r="B1" s="134"/>
      <c r="G1" s="104"/>
      <c r="H1" s="33"/>
      <c r="I1" s="105"/>
    </row>
    <row r="2" spans="1:31" ht="15.75" thickBot="1" x14ac:dyDescent="0.3">
      <c r="H2" s="34" t="s">
        <v>36</v>
      </c>
      <c r="I2" s="34" t="s">
        <v>37</v>
      </c>
      <c r="K2" s="35"/>
      <c r="L2" s="35"/>
      <c r="M2" s="35"/>
      <c r="N2" s="35"/>
      <c r="O2" s="35"/>
      <c r="P2" s="35"/>
      <c r="Q2" s="35"/>
      <c r="AC2" s="32" t="s">
        <v>39</v>
      </c>
      <c r="AD2" s="32" t="s">
        <v>7</v>
      </c>
      <c r="AE2" s="32" t="s">
        <v>29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6">
        <v>9724</v>
      </c>
      <c r="I3" s="107">
        <v>45591</v>
      </c>
      <c r="K3" s="40"/>
      <c r="M3" s="40"/>
      <c r="N3" s="40"/>
      <c r="O3" s="40"/>
      <c r="P3" s="40"/>
      <c r="Q3" s="40"/>
      <c r="R3" s="34"/>
      <c r="AC3" s="108">
        <v>45537</v>
      </c>
      <c r="AD3" s="109">
        <v>45532</v>
      </c>
      <c r="AE3" s="110">
        <v>45527</v>
      </c>
    </row>
    <row r="4" spans="1:31" x14ac:dyDescent="0.25">
      <c r="A4" s="50">
        <v>45593</v>
      </c>
      <c r="B4" s="42" t="s">
        <v>23</v>
      </c>
      <c r="C4" s="111">
        <f>_xlfn.IFNA(_xlfn.IFNA(VLOOKUP(B4,Withd,2,FALSE),VLOOKUP(B4,income,2,FALSE)),"")</f>
        <v>-65</v>
      </c>
      <c r="E4" s="43">
        <f>WEEKDAY(F4)</f>
        <v>7</v>
      </c>
      <c r="F4" s="41">
        <f>I3</f>
        <v>45591</v>
      </c>
      <c r="G4" s="44" t="str">
        <f t="shared" ref="G4:G35" si="0">LookUpConcat(F4,Dates,TDesc,", ")</f>
        <v/>
      </c>
      <c r="H4" s="111">
        <f t="shared" ref="H4:H35" si="1">H3+SUMIF(Dates,F4,TAMTS)</f>
        <v>9724</v>
      </c>
      <c r="I4" s="112"/>
      <c r="K4" s="40"/>
      <c r="L4" s="40"/>
      <c r="M4" s="40"/>
      <c r="N4" s="40"/>
      <c r="O4" s="40"/>
      <c r="P4" s="40"/>
      <c r="Q4" s="40"/>
      <c r="R4" s="34"/>
      <c r="AC4" s="45">
        <f>AC3+14</f>
        <v>45551</v>
      </c>
      <c r="AD4" s="46">
        <f>DATE(YEAR(AD3),MONTH(AD3)+1,1+((4-(4&gt;=WEEKDAY(DATE(YEAR(AD3),MONTH(AD3)+1,1))))*7)+(4-WEEKDAY(DATE(YEAR(AD3),MONTH(AD3)+1,1))))</f>
        <v>45560</v>
      </c>
      <c r="AE4" s="46">
        <f>AE3+14</f>
        <v>45541</v>
      </c>
    </row>
    <row r="5" spans="1:31" x14ac:dyDescent="0.25">
      <c r="A5" s="41">
        <v>45595</v>
      </c>
      <c r="B5" s="42" t="s">
        <v>64</v>
      </c>
      <c r="C5" s="111">
        <v>-190</v>
      </c>
      <c r="E5" s="43">
        <f t="shared" ref="E5:E68" si="2">WEEKDAY(F5)</f>
        <v>1</v>
      </c>
      <c r="F5" s="41">
        <f>F4+1</f>
        <v>45592</v>
      </c>
      <c r="G5" s="44" t="str">
        <f t="shared" si="0"/>
        <v/>
      </c>
      <c r="H5" s="111">
        <f t="shared" si="1"/>
        <v>9724</v>
      </c>
      <c r="I5" s="111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45565</v>
      </c>
      <c r="AD5" s="46">
        <f t="shared" ref="AD5:AD40" si="4">DATE(YEAR(AD4),MONTH(AD4)+1,1+((4-(4&gt;=WEEKDAY(DATE(YEAR(AD4),MONTH(AD4)+1,1))))*7)+(4-WEEKDAY(DATE(YEAR(AD4),MONTH(AD4)+1,1))))</f>
        <v>45588</v>
      </c>
      <c r="AE5" s="46">
        <f t="shared" ref="AE5:AE40" si="5">AE4+14</f>
        <v>45555</v>
      </c>
    </row>
    <row r="6" spans="1:31" x14ac:dyDescent="0.25">
      <c r="A6" s="41">
        <v>45597</v>
      </c>
      <c r="B6" s="48" t="s">
        <v>6</v>
      </c>
      <c r="C6" s="111">
        <f>_xlfn.IFNA(_xlfn.IFNA(VLOOKUP(B6,Withd,2,FALSE),VLOOKUP(B6,income,2,FALSE)),"")</f>
        <v>2912.56</v>
      </c>
      <c r="E6" s="43">
        <f t="shared" si="2"/>
        <v>2</v>
      </c>
      <c r="F6" s="41">
        <f t="shared" ref="F6:F47" si="6">F5+1</f>
        <v>45593</v>
      </c>
      <c r="G6" s="44" t="str">
        <f t="shared" si="0"/>
        <v>Gas</v>
      </c>
      <c r="H6" s="111">
        <f>H5+SUMIF(Dates,F6,TAMTS)</f>
        <v>9659</v>
      </c>
      <c r="I6" s="111"/>
      <c r="K6" s="40"/>
      <c r="L6" s="40"/>
      <c r="M6" s="40"/>
      <c r="N6" s="40"/>
      <c r="O6" s="40"/>
      <c r="P6" s="40"/>
      <c r="Q6" s="40"/>
      <c r="R6" s="47"/>
      <c r="AC6" s="45">
        <f t="shared" si="3"/>
        <v>45579</v>
      </c>
      <c r="AD6" s="46">
        <f t="shared" si="4"/>
        <v>45623</v>
      </c>
      <c r="AE6" s="46">
        <f t="shared" si="5"/>
        <v>45569</v>
      </c>
    </row>
    <row r="7" spans="1:31" x14ac:dyDescent="0.25">
      <c r="A7" s="41">
        <v>45600</v>
      </c>
      <c r="B7" s="48" t="s">
        <v>8</v>
      </c>
      <c r="C7" s="111">
        <f>_xlfn.IFNA(_xlfn.IFNA(VLOOKUP(B7,Withd,2,FALSE),VLOOKUP(B7,income,2,FALSE)),"")</f>
        <v>-110</v>
      </c>
      <c r="E7" s="43">
        <f t="shared" si="2"/>
        <v>3</v>
      </c>
      <c r="F7" s="41">
        <f t="shared" si="6"/>
        <v>45594</v>
      </c>
      <c r="G7" s="44" t="str">
        <f t="shared" si="0"/>
        <v/>
      </c>
      <c r="H7" s="111">
        <f t="shared" si="1"/>
        <v>9659</v>
      </c>
      <c r="I7" s="111"/>
      <c r="K7" s="40"/>
      <c r="L7" s="40"/>
      <c r="M7" s="40"/>
      <c r="N7" s="40"/>
      <c r="O7" s="40"/>
      <c r="P7" s="40"/>
      <c r="Q7" s="40"/>
      <c r="R7" s="47"/>
      <c r="AC7" s="45">
        <f t="shared" si="3"/>
        <v>45593</v>
      </c>
      <c r="AD7" s="46">
        <f t="shared" si="4"/>
        <v>45651</v>
      </c>
      <c r="AE7" s="46">
        <f t="shared" si="5"/>
        <v>45583</v>
      </c>
    </row>
    <row r="8" spans="1:31" x14ac:dyDescent="0.25">
      <c r="A8" s="50">
        <v>45603</v>
      </c>
      <c r="B8" s="51" t="s">
        <v>9</v>
      </c>
      <c r="C8" s="111">
        <f>_xlfn.IFNA(_xlfn.IFNA(VLOOKUP(B8,Withd,2,FALSE),VLOOKUP(B8,income,2,FALSE)),"")</f>
        <v>-270</v>
      </c>
      <c r="E8" s="43">
        <f t="shared" si="2"/>
        <v>4</v>
      </c>
      <c r="F8" s="41">
        <f t="shared" si="6"/>
        <v>45595</v>
      </c>
      <c r="G8" s="44" t="str">
        <f t="shared" si="0"/>
        <v>Landscape</v>
      </c>
      <c r="H8" s="111">
        <f t="shared" si="1"/>
        <v>9469</v>
      </c>
      <c r="I8" s="111"/>
      <c r="K8" s="40"/>
      <c r="L8" s="40"/>
      <c r="M8" s="40"/>
      <c r="N8" s="40"/>
      <c r="O8" s="40"/>
      <c r="P8" s="40"/>
      <c r="Q8" s="40"/>
      <c r="R8" s="35"/>
      <c r="AC8" s="45">
        <f t="shared" si="3"/>
        <v>45607</v>
      </c>
      <c r="AD8" s="46">
        <f t="shared" si="4"/>
        <v>45679</v>
      </c>
      <c r="AE8" s="46">
        <f t="shared" si="5"/>
        <v>45597</v>
      </c>
    </row>
    <row r="9" spans="1:31" x14ac:dyDescent="0.25">
      <c r="A9" s="41">
        <v>45608</v>
      </c>
      <c r="B9" s="51" t="s">
        <v>18</v>
      </c>
      <c r="C9" s="111">
        <f>_xlfn.IFNA(_xlfn.IFNA(VLOOKUP(B9,Withd,2,FALSE),VLOOKUP(B9,income,2,FALSE)),"")</f>
        <v>-30</v>
      </c>
      <c r="E9" s="43">
        <f t="shared" si="2"/>
        <v>5</v>
      </c>
      <c r="F9" s="41">
        <f t="shared" si="6"/>
        <v>45596</v>
      </c>
      <c r="G9" s="44" t="str">
        <f t="shared" si="0"/>
        <v/>
      </c>
      <c r="H9" s="111">
        <f t="shared" si="1"/>
        <v>9469</v>
      </c>
      <c r="I9" s="111"/>
      <c r="K9" s="40"/>
      <c r="L9" s="40"/>
      <c r="M9" s="40"/>
      <c r="N9" s="40"/>
      <c r="O9" s="40"/>
      <c r="P9" s="40"/>
      <c r="Q9" s="40"/>
      <c r="R9" s="47"/>
      <c r="AC9" s="45">
        <f t="shared" si="3"/>
        <v>45621</v>
      </c>
      <c r="AD9" s="46">
        <f t="shared" si="4"/>
        <v>45714</v>
      </c>
      <c r="AE9" s="46">
        <f t="shared" si="5"/>
        <v>45611</v>
      </c>
    </row>
    <row r="10" spans="1:31" x14ac:dyDescent="0.25">
      <c r="A10" s="41">
        <v>45608</v>
      </c>
      <c r="B10" s="51" t="s">
        <v>19</v>
      </c>
      <c r="C10" s="111">
        <f>_xlfn.IFNA(_xlfn.IFNA(VLOOKUP(B10,Withd,2,FALSE),VLOOKUP(B10,income,2,FALSE)),"")</f>
        <v>-35</v>
      </c>
      <c r="E10" s="43">
        <f t="shared" si="2"/>
        <v>6</v>
      </c>
      <c r="F10" s="41">
        <f t="shared" si="6"/>
        <v>45597</v>
      </c>
      <c r="G10" s="44" t="str">
        <f t="shared" si="0"/>
        <v>Paycheck</v>
      </c>
      <c r="H10" s="111">
        <f t="shared" si="1"/>
        <v>12381.56</v>
      </c>
      <c r="I10" s="111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45635</v>
      </c>
      <c r="AD10" s="46">
        <f t="shared" si="4"/>
        <v>45742</v>
      </c>
      <c r="AE10" s="46">
        <f t="shared" si="5"/>
        <v>45625</v>
      </c>
    </row>
    <row r="11" spans="1:31" x14ac:dyDescent="0.25">
      <c r="A11" s="41">
        <v>45608</v>
      </c>
      <c r="B11" s="51" t="s">
        <v>21</v>
      </c>
      <c r="C11" s="111">
        <f>_xlfn.IFNA(_xlfn.IFNA(VLOOKUP(B11,Withd,2,FALSE),VLOOKUP(B11,income,2,FALSE)),"")</f>
        <v>-11</v>
      </c>
      <c r="E11" s="43">
        <f t="shared" si="2"/>
        <v>7</v>
      </c>
      <c r="F11" s="41">
        <f t="shared" si="6"/>
        <v>45598</v>
      </c>
      <c r="G11" s="44" t="str">
        <f>LookUpConcat(F11,Dates,TDesc,", ")</f>
        <v/>
      </c>
      <c r="H11" s="111">
        <f t="shared" si="1"/>
        <v>12381.56</v>
      </c>
      <c r="I11" s="111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45649</v>
      </c>
      <c r="AD11" s="46">
        <f t="shared" si="4"/>
        <v>45770</v>
      </c>
      <c r="AE11" s="46">
        <f t="shared" si="5"/>
        <v>45639</v>
      </c>
    </row>
    <row r="12" spans="1:31" x14ac:dyDescent="0.25">
      <c r="A12" s="41">
        <v>45608</v>
      </c>
      <c r="B12" s="42" t="s">
        <v>35</v>
      </c>
      <c r="C12" s="111">
        <f>_xlfn.IFNA(_xlfn.IFNA(VLOOKUP(B12,Withd,2,FALSE),VLOOKUP(B12,income,2,FALSE)),"")</f>
        <v>-200</v>
      </c>
      <c r="E12" s="43">
        <f t="shared" si="2"/>
        <v>1</v>
      </c>
      <c r="F12" s="41">
        <f t="shared" si="6"/>
        <v>45599</v>
      </c>
      <c r="G12" s="44" t="str">
        <f t="shared" si="0"/>
        <v/>
      </c>
      <c r="H12" s="111">
        <f t="shared" si="1"/>
        <v>12381.56</v>
      </c>
      <c r="I12" s="111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45663</v>
      </c>
      <c r="AD12" s="46">
        <f t="shared" si="4"/>
        <v>45805</v>
      </c>
      <c r="AE12" s="46">
        <f t="shared" si="5"/>
        <v>45653</v>
      </c>
    </row>
    <row r="13" spans="1:31" x14ac:dyDescent="0.25">
      <c r="A13" s="41">
        <v>45608</v>
      </c>
      <c r="B13" s="48" t="s">
        <v>5</v>
      </c>
      <c r="C13" s="111">
        <f>_xlfn.IFNA(_xlfn.IFNA(VLOOKUP(B13,Withd,2,FALSE),VLOOKUP(B13,income,2,FALSE)),"")</f>
        <v>-475</v>
      </c>
      <c r="E13" s="43">
        <f t="shared" si="2"/>
        <v>2</v>
      </c>
      <c r="F13" s="41">
        <f t="shared" si="6"/>
        <v>45600</v>
      </c>
      <c r="G13" s="44" t="str">
        <f t="shared" si="0"/>
        <v>Clean</v>
      </c>
      <c r="H13" s="111">
        <f t="shared" si="1"/>
        <v>12271.56</v>
      </c>
      <c r="I13" s="111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45677</v>
      </c>
      <c r="AD13" s="46">
        <f t="shared" si="4"/>
        <v>45833</v>
      </c>
      <c r="AE13" s="46">
        <f t="shared" si="5"/>
        <v>45667</v>
      </c>
    </row>
    <row r="14" spans="1:31" x14ac:dyDescent="0.25">
      <c r="A14" s="41">
        <v>45609</v>
      </c>
      <c r="B14" s="48" t="s">
        <v>33</v>
      </c>
      <c r="C14" s="111">
        <f>_xlfn.IFNA(_xlfn.IFNA(VLOOKUP(B14,Withd,2,FALSE),VLOOKUP(B14,income,2,FALSE)),"")</f>
        <v>-930</v>
      </c>
      <c r="E14" s="43">
        <f t="shared" si="2"/>
        <v>3</v>
      </c>
      <c r="F14" s="41">
        <f t="shared" si="6"/>
        <v>45601</v>
      </c>
      <c r="G14" s="44" t="str">
        <f t="shared" si="0"/>
        <v/>
      </c>
      <c r="H14" s="111">
        <f t="shared" si="1"/>
        <v>12271.56</v>
      </c>
      <c r="I14" s="111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45691</v>
      </c>
      <c r="AD14" s="46">
        <f t="shared" si="4"/>
        <v>45861</v>
      </c>
      <c r="AE14" s="46">
        <f t="shared" si="5"/>
        <v>45681</v>
      </c>
    </row>
    <row r="15" spans="1:31" x14ac:dyDescent="0.25">
      <c r="A15" s="50">
        <v>45610</v>
      </c>
      <c r="B15" s="51" t="s">
        <v>34</v>
      </c>
      <c r="C15" s="111">
        <f>_xlfn.IFNA(_xlfn.IFNA(VLOOKUP(B15,Withd,2,FALSE),VLOOKUP(B15,income,2,FALSE)),"")</f>
        <v>-105</v>
      </c>
      <c r="E15" s="43">
        <f t="shared" si="2"/>
        <v>4</v>
      </c>
      <c r="F15" s="41">
        <f t="shared" si="6"/>
        <v>45602</v>
      </c>
      <c r="G15" s="44" t="str">
        <f t="shared" si="0"/>
        <v/>
      </c>
      <c r="H15" s="111">
        <f t="shared" si="1"/>
        <v>12271.56</v>
      </c>
      <c r="I15" s="111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45705</v>
      </c>
      <c r="AD15" s="46">
        <f t="shared" si="4"/>
        <v>45896</v>
      </c>
      <c r="AE15" s="46">
        <f t="shared" si="5"/>
        <v>45695</v>
      </c>
    </row>
    <row r="16" spans="1:31" x14ac:dyDescent="0.25">
      <c r="A16" s="41">
        <v>45611</v>
      </c>
      <c r="B16" s="51" t="s">
        <v>46</v>
      </c>
      <c r="C16" s="111">
        <f>_xlfn.IFNA(_xlfn.IFNA(VLOOKUP(B16,Withd,2,FALSE),VLOOKUP(B16,income,2,FALSE)),"")</f>
        <v>-940</v>
      </c>
      <c r="E16" s="43">
        <f t="shared" si="2"/>
        <v>5</v>
      </c>
      <c r="F16" s="41">
        <f t="shared" si="6"/>
        <v>45603</v>
      </c>
      <c r="G16" s="44" t="str">
        <f t="shared" si="0"/>
        <v>Tmobile</v>
      </c>
      <c r="H16" s="111">
        <f t="shared" si="1"/>
        <v>12001.56</v>
      </c>
      <c r="I16" s="111"/>
      <c r="K16" s="40"/>
      <c r="L16" s="40"/>
      <c r="M16" s="40"/>
      <c r="N16" s="40"/>
      <c r="O16" s="40"/>
      <c r="P16" s="40"/>
      <c r="Q16" s="40"/>
      <c r="AC16" s="45">
        <f t="shared" si="3"/>
        <v>45719</v>
      </c>
      <c r="AD16" s="46">
        <f t="shared" si="4"/>
        <v>45924</v>
      </c>
      <c r="AE16" s="46">
        <f t="shared" si="5"/>
        <v>45709</v>
      </c>
    </row>
    <row r="17" spans="1:31" x14ac:dyDescent="0.25">
      <c r="A17" s="50">
        <v>45611</v>
      </c>
      <c r="B17" s="42" t="s">
        <v>6</v>
      </c>
      <c r="C17" s="111">
        <f>_xlfn.IFNA(_xlfn.IFNA(VLOOKUP(B17,Withd,2,FALSE),VLOOKUP(B17,income,2,FALSE)),"")</f>
        <v>2912.56</v>
      </c>
      <c r="E17" s="43">
        <f t="shared" si="2"/>
        <v>6</v>
      </c>
      <c r="F17" s="41">
        <f t="shared" si="6"/>
        <v>45604</v>
      </c>
      <c r="G17" s="44" t="str">
        <f t="shared" si="0"/>
        <v/>
      </c>
      <c r="H17" s="111">
        <f t="shared" si="1"/>
        <v>12001.56</v>
      </c>
      <c r="I17" s="111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45733</v>
      </c>
      <c r="AD17" s="46">
        <f t="shared" si="4"/>
        <v>45952</v>
      </c>
      <c r="AE17" s="46">
        <f t="shared" si="5"/>
        <v>45723</v>
      </c>
    </row>
    <row r="18" spans="1:31" x14ac:dyDescent="0.25">
      <c r="A18" s="50">
        <v>45614</v>
      </c>
      <c r="B18" s="42" t="s">
        <v>20</v>
      </c>
      <c r="C18" s="111">
        <f>_xlfn.IFNA(_xlfn.IFNA(VLOOKUP(B18,Withd,2,FALSE),VLOOKUP(B18,income,2,FALSE)),"")</f>
        <v>-60</v>
      </c>
      <c r="E18" s="43">
        <f t="shared" si="2"/>
        <v>7</v>
      </c>
      <c r="F18" s="41">
        <f t="shared" si="6"/>
        <v>45605</v>
      </c>
      <c r="G18" s="44" t="str">
        <f t="shared" si="0"/>
        <v/>
      </c>
      <c r="H18" s="111">
        <f t="shared" si="1"/>
        <v>12001.56</v>
      </c>
      <c r="I18" s="111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45747</v>
      </c>
      <c r="AD18" s="46">
        <f t="shared" si="4"/>
        <v>45987</v>
      </c>
      <c r="AE18" s="46">
        <f t="shared" si="5"/>
        <v>45737</v>
      </c>
    </row>
    <row r="19" spans="1:31" x14ac:dyDescent="0.25">
      <c r="A19" s="41">
        <v>45614</v>
      </c>
      <c r="B19" s="42" t="s">
        <v>8</v>
      </c>
      <c r="C19" s="111">
        <f>_xlfn.IFNA(_xlfn.IFNA(VLOOKUP(B19,Withd,2,FALSE),VLOOKUP(B19,income,2,FALSE)),"")</f>
        <v>-110</v>
      </c>
      <c r="E19" s="43">
        <f t="shared" si="2"/>
        <v>1</v>
      </c>
      <c r="F19" s="41">
        <f t="shared" si="6"/>
        <v>45606</v>
      </c>
      <c r="G19" s="44" t="str">
        <f t="shared" si="0"/>
        <v/>
      </c>
      <c r="H19" s="111">
        <f t="shared" si="1"/>
        <v>12001.56</v>
      </c>
      <c r="I19" s="111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45761</v>
      </c>
      <c r="AD19" s="46">
        <f t="shared" si="4"/>
        <v>46015</v>
      </c>
      <c r="AE19" s="46">
        <f t="shared" si="5"/>
        <v>45751</v>
      </c>
    </row>
    <row r="20" spans="1:31" x14ac:dyDescent="0.25">
      <c r="A20" s="49">
        <v>45616</v>
      </c>
      <c r="B20" s="42" t="s">
        <v>11</v>
      </c>
      <c r="C20" s="111">
        <f>_xlfn.IFNA(_xlfn.IFNA(VLOOKUP(B20,Withd,2,FALSE),VLOOKUP(B20,income,2,FALSE)),"")</f>
        <v>-300</v>
      </c>
      <c r="E20" s="43">
        <f t="shared" si="2"/>
        <v>2</v>
      </c>
      <c r="F20" s="41">
        <f t="shared" si="6"/>
        <v>45607</v>
      </c>
      <c r="G20" s="44" t="str">
        <f t="shared" si="0"/>
        <v/>
      </c>
      <c r="H20" s="111">
        <f t="shared" si="1"/>
        <v>12001.56</v>
      </c>
      <c r="I20" s="111"/>
      <c r="K20" s="137"/>
      <c r="L20" s="137"/>
      <c r="M20" s="138"/>
      <c r="N20" s="138"/>
      <c r="O20" s="138"/>
      <c r="P20" s="139"/>
      <c r="Q20" s="139"/>
      <c r="R20" s="139"/>
      <c r="S20" s="104"/>
      <c r="T20" s="129"/>
      <c r="U20" s="129"/>
      <c r="AC20" s="45">
        <f t="shared" si="3"/>
        <v>45775</v>
      </c>
      <c r="AD20" s="46">
        <f t="shared" si="4"/>
        <v>46050</v>
      </c>
      <c r="AE20" s="46">
        <f t="shared" si="5"/>
        <v>45765</v>
      </c>
    </row>
    <row r="21" spans="1:31" x14ac:dyDescent="0.25">
      <c r="A21" s="41">
        <v>45623</v>
      </c>
      <c r="B21" s="42" t="s">
        <v>7</v>
      </c>
      <c r="C21" s="111">
        <f>_xlfn.IFNA(_xlfn.IFNA(VLOOKUP(B21,Withd,2,FALSE),VLOOKUP(B21,income,2,FALSE)),"")</f>
        <v>1227</v>
      </c>
      <c r="E21" s="43">
        <f t="shared" si="2"/>
        <v>3</v>
      </c>
      <c r="F21" s="41">
        <f t="shared" si="6"/>
        <v>45608</v>
      </c>
      <c r="G21" s="44" t="str">
        <f t="shared" si="0"/>
        <v>Water, Sewer, City, Amazon, Car</v>
      </c>
      <c r="H21" s="111">
        <f t="shared" si="1"/>
        <v>11250.56</v>
      </c>
      <c r="I21" s="111"/>
      <c r="J21" s="41"/>
      <c r="K21" s="41"/>
      <c r="N21" s="50"/>
      <c r="O21" s="53"/>
      <c r="P21" s="50"/>
      <c r="AC21" s="45">
        <f t="shared" si="3"/>
        <v>45789</v>
      </c>
      <c r="AD21" s="46">
        <f t="shared" si="4"/>
        <v>46078</v>
      </c>
      <c r="AE21" s="46">
        <f t="shared" si="5"/>
        <v>45779</v>
      </c>
    </row>
    <row r="22" spans="1:31" x14ac:dyDescent="0.25">
      <c r="A22" s="41">
        <v>45624</v>
      </c>
      <c r="B22" s="42" t="s">
        <v>23</v>
      </c>
      <c r="C22" s="111">
        <f>_xlfn.IFNA(_xlfn.IFNA(VLOOKUP(B22,Withd,2,FALSE),VLOOKUP(B22,income,2,FALSE)),"")</f>
        <v>-65</v>
      </c>
      <c r="E22" s="43">
        <f t="shared" si="2"/>
        <v>4</v>
      </c>
      <c r="F22" s="41">
        <f t="shared" si="6"/>
        <v>45609</v>
      </c>
      <c r="G22" s="44" t="str">
        <f t="shared" si="0"/>
        <v>Paypal</v>
      </c>
      <c r="H22" s="111">
        <f t="shared" si="1"/>
        <v>10320.56</v>
      </c>
      <c r="I22" s="111"/>
      <c r="J22" s="135" t="s">
        <v>38</v>
      </c>
      <c r="K22" s="135"/>
      <c r="L22" s="135"/>
      <c r="M22" s="135"/>
      <c r="N22" s="135"/>
      <c r="T22" s="32">
        <v>4</v>
      </c>
      <c r="W22" s="111"/>
      <c r="X22" s="54"/>
      <c r="AC22" s="45">
        <f t="shared" si="3"/>
        <v>45803</v>
      </c>
      <c r="AD22" s="46">
        <f t="shared" si="4"/>
        <v>46106</v>
      </c>
      <c r="AE22" s="46">
        <f t="shared" si="5"/>
        <v>45793</v>
      </c>
    </row>
    <row r="23" spans="1:31" x14ac:dyDescent="0.25">
      <c r="A23" s="41">
        <v>45624</v>
      </c>
      <c r="B23" s="42" t="s">
        <v>22</v>
      </c>
      <c r="C23" s="111">
        <f>_xlfn.IFNA(_xlfn.IFNA(VLOOKUP(B23,Withd,2,FALSE),VLOOKUP(B23,income,2,FALSE)),"")</f>
        <v>-75</v>
      </c>
      <c r="E23" s="43">
        <f t="shared" si="2"/>
        <v>5</v>
      </c>
      <c r="F23" s="41">
        <f t="shared" si="6"/>
        <v>45610</v>
      </c>
      <c r="G23" s="44" t="str">
        <f t="shared" si="0"/>
        <v>StateFarm</v>
      </c>
      <c r="H23" s="111">
        <f t="shared" si="1"/>
        <v>10215.56</v>
      </c>
      <c r="I23" s="111"/>
      <c r="J23" s="135"/>
      <c r="K23" s="135"/>
      <c r="L23" s="135"/>
      <c r="M23" s="135"/>
      <c r="N23" s="135"/>
      <c r="S23" s="119">
        <v>1</v>
      </c>
      <c r="T23" s="41">
        <f>DATE(2025,$T$22,S23)</f>
        <v>45748</v>
      </c>
      <c r="U23" s="32" t="s">
        <v>4</v>
      </c>
      <c r="V23" s="111">
        <v>-1050</v>
      </c>
      <c r="W23" s="111"/>
      <c r="X23" s="54"/>
      <c r="AC23" s="45">
        <f t="shared" si="3"/>
        <v>45817</v>
      </c>
      <c r="AD23" s="46">
        <f t="shared" si="4"/>
        <v>46134</v>
      </c>
      <c r="AE23" s="46">
        <f t="shared" si="5"/>
        <v>45807</v>
      </c>
    </row>
    <row r="24" spans="1:31" ht="15.75" thickBot="1" x14ac:dyDescent="0.3">
      <c r="A24" s="41">
        <v>45625</v>
      </c>
      <c r="B24" s="93" t="s">
        <v>6</v>
      </c>
      <c r="C24" s="111">
        <f>_xlfn.IFNA(_xlfn.IFNA(VLOOKUP(B24,Withd,2,FALSE),VLOOKUP(B24,income,2,FALSE)),"")</f>
        <v>2912.56</v>
      </c>
      <c r="E24" s="43">
        <f t="shared" si="2"/>
        <v>6</v>
      </c>
      <c r="F24" s="41">
        <f t="shared" si="6"/>
        <v>45611</v>
      </c>
      <c r="G24" s="44" t="str">
        <f t="shared" si="0"/>
        <v>NWM/IRA, Paycheck</v>
      </c>
      <c r="H24" s="111">
        <f t="shared" si="1"/>
        <v>12188.119999999999</v>
      </c>
      <c r="I24" s="111"/>
      <c r="J24" s="56"/>
      <c r="K24" s="55" t="s">
        <v>28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28</v>
      </c>
      <c r="S24" s="119">
        <v>7</v>
      </c>
      <c r="T24" s="41">
        <f t="shared" ref="T24:T28" si="7">DATE(2025,$T$22,S24)</f>
        <v>45754</v>
      </c>
      <c r="U24" s="32" t="s">
        <v>9</v>
      </c>
      <c r="V24" s="111">
        <v>-270</v>
      </c>
      <c r="W24" s="111"/>
      <c r="X24" s="50"/>
      <c r="Y24" s="57"/>
      <c r="AC24" s="45">
        <f t="shared" si="3"/>
        <v>45831</v>
      </c>
      <c r="AD24" s="46">
        <f t="shared" si="4"/>
        <v>46169</v>
      </c>
      <c r="AE24" s="46">
        <f t="shared" si="5"/>
        <v>45821</v>
      </c>
    </row>
    <row r="25" spans="1:31" ht="15.75" customHeight="1" x14ac:dyDescent="0.25">
      <c r="A25" s="70">
        <v>45627</v>
      </c>
      <c r="B25" s="42" t="s">
        <v>4</v>
      </c>
      <c r="C25" s="111">
        <f>_xlfn.IFNA(_xlfn.IFNA(VLOOKUP(B25,Withd,2,FALSE),VLOOKUP(B25,income,2,FALSE)),"")</f>
        <v>-1050</v>
      </c>
      <c r="E25" s="43">
        <f t="shared" si="2"/>
        <v>7</v>
      </c>
      <c r="F25" s="41">
        <f t="shared" si="6"/>
        <v>45612</v>
      </c>
      <c r="G25" s="44" t="str">
        <f t="shared" si="0"/>
        <v/>
      </c>
      <c r="H25" s="111">
        <f t="shared" si="1"/>
        <v>12188.119999999999</v>
      </c>
      <c r="I25" s="111"/>
      <c r="K25" s="58">
        <v>45536</v>
      </c>
      <c r="L25" s="59">
        <f t="shared" ref="L25:L55" si="8">K25+1</f>
        <v>45537</v>
      </c>
      <c r="M25" s="60">
        <f t="shared" ref="M25:M55" si="9">L25+1</f>
        <v>45538</v>
      </c>
      <c r="N25" s="60">
        <f t="shared" ref="N25:N55" si="10">M25+1</f>
        <v>45539</v>
      </c>
      <c r="O25" s="60">
        <f t="shared" ref="O25:O55" si="11">N25+1</f>
        <v>45540</v>
      </c>
      <c r="P25" s="61">
        <f t="shared" ref="P25:P55" si="12">O25+1</f>
        <v>45541</v>
      </c>
      <c r="Q25" s="97">
        <f t="shared" ref="Q25:Q55" si="13">P25+1</f>
        <v>45542</v>
      </c>
      <c r="R25" s="123"/>
      <c r="S25" s="119">
        <v>14</v>
      </c>
      <c r="T25" s="41">
        <f t="shared" si="7"/>
        <v>45761</v>
      </c>
      <c r="U25" s="32" t="s">
        <v>34</v>
      </c>
      <c r="V25" s="111">
        <v>-105</v>
      </c>
      <c r="W25" s="111"/>
      <c r="Y25" s="62"/>
      <c r="AC25" s="45">
        <f t="shared" si="3"/>
        <v>45845</v>
      </c>
      <c r="AD25" s="46">
        <f t="shared" si="4"/>
        <v>46197</v>
      </c>
      <c r="AE25" s="46">
        <f t="shared" si="5"/>
        <v>45835</v>
      </c>
    </row>
    <row r="26" spans="1:31" x14ac:dyDescent="0.25">
      <c r="A26" s="50">
        <v>45628</v>
      </c>
      <c r="B26" s="51" t="s">
        <v>8</v>
      </c>
      <c r="C26" s="111">
        <f>_xlfn.IFNA(_xlfn.IFNA(VLOOKUP(B26,Withd,2,FALSE),VLOOKUP(B26,income,2,FALSE)),"")</f>
        <v>-110</v>
      </c>
      <c r="E26" s="43">
        <f t="shared" si="2"/>
        <v>1</v>
      </c>
      <c r="F26" s="41">
        <f t="shared" si="6"/>
        <v>45613</v>
      </c>
      <c r="G26" s="44" t="str">
        <f t="shared" si="0"/>
        <v/>
      </c>
      <c r="H26" s="111">
        <f t="shared" si="1"/>
        <v>12188.119999999999</v>
      </c>
      <c r="I26" s="111"/>
      <c r="J26" s="124">
        <f>K26</f>
        <v>45543</v>
      </c>
      <c r="K26" s="63">
        <f t="shared" ref="K26:K55" si="14">Q25+1</f>
        <v>45543</v>
      </c>
      <c r="L26" s="64">
        <f t="shared" si="8"/>
        <v>45544</v>
      </c>
      <c r="M26" s="65">
        <f t="shared" si="9"/>
        <v>45545</v>
      </c>
      <c r="N26" s="65">
        <f t="shared" si="10"/>
        <v>45546</v>
      </c>
      <c r="O26" s="65">
        <f t="shared" si="11"/>
        <v>45547</v>
      </c>
      <c r="P26" s="66">
        <f t="shared" si="12"/>
        <v>45548</v>
      </c>
      <c r="Q26" s="88">
        <f t="shared" si="13"/>
        <v>45549</v>
      </c>
      <c r="R26" s="123"/>
      <c r="S26" s="119">
        <v>10</v>
      </c>
      <c r="T26" s="41">
        <f t="shared" si="7"/>
        <v>45757</v>
      </c>
      <c r="U26" s="32" t="s">
        <v>18</v>
      </c>
      <c r="V26" s="111">
        <v>-30</v>
      </c>
      <c r="W26" s="111"/>
      <c r="AC26" s="45">
        <f t="shared" si="3"/>
        <v>45859</v>
      </c>
      <c r="AD26" s="46">
        <f t="shared" si="4"/>
        <v>46225</v>
      </c>
      <c r="AE26" s="46">
        <f t="shared" si="5"/>
        <v>45849</v>
      </c>
    </row>
    <row r="27" spans="1:31" x14ac:dyDescent="0.25">
      <c r="A27" s="50">
        <v>45633</v>
      </c>
      <c r="B27" s="67" t="s">
        <v>9</v>
      </c>
      <c r="C27" s="111">
        <f>_xlfn.IFNA(_xlfn.IFNA(VLOOKUP(B27,Withd,2,FALSE),VLOOKUP(B27,income,2,FALSE)),"")</f>
        <v>-270</v>
      </c>
      <c r="E27" s="43">
        <f t="shared" si="2"/>
        <v>2</v>
      </c>
      <c r="F27" s="41">
        <f t="shared" si="6"/>
        <v>45614</v>
      </c>
      <c r="G27" s="44" t="str">
        <f t="shared" si="0"/>
        <v>Fuel, Clean</v>
      </c>
      <c r="H27" s="111">
        <f t="shared" si="1"/>
        <v>12018.119999999999</v>
      </c>
      <c r="I27" s="111"/>
      <c r="J27" s="125">
        <f>K26</f>
        <v>45543</v>
      </c>
      <c r="K27" s="63">
        <f t="shared" si="14"/>
        <v>45550</v>
      </c>
      <c r="L27" s="64">
        <f t="shared" si="8"/>
        <v>45551</v>
      </c>
      <c r="M27" s="65">
        <f t="shared" si="9"/>
        <v>45552</v>
      </c>
      <c r="N27" s="65">
        <f t="shared" si="10"/>
        <v>45553</v>
      </c>
      <c r="O27" s="65">
        <f t="shared" si="11"/>
        <v>45554</v>
      </c>
      <c r="P27" s="66">
        <f t="shared" si="12"/>
        <v>45555</v>
      </c>
      <c r="Q27" s="88">
        <f t="shared" si="13"/>
        <v>45556</v>
      </c>
      <c r="R27" s="123"/>
      <c r="S27" s="119">
        <v>10</v>
      </c>
      <c r="T27" s="41">
        <f t="shared" si="7"/>
        <v>45757</v>
      </c>
      <c r="U27" s="32" t="s">
        <v>19</v>
      </c>
      <c r="V27" s="111">
        <v>-35</v>
      </c>
      <c r="W27" s="111"/>
      <c r="AC27" s="45">
        <f t="shared" si="3"/>
        <v>45873</v>
      </c>
      <c r="AD27" s="46">
        <f t="shared" si="4"/>
        <v>46260</v>
      </c>
      <c r="AE27" s="46">
        <f t="shared" si="5"/>
        <v>45863</v>
      </c>
    </row>
    <row r="28" spans="1:31" ht="15.75" thickBot="1" x14ac:dyDescent="0.3">
      <c r="A28" s="50">
        <v>45636</v>
      </c>
      <c r="B28" s="51" t="s">
        <v>18</v>
      </c>
      <c r="C28" s="111">
        <f>_xlfn.IFNA(_xlfn.IFNA(VLOOKUP(B28,Withd,2,FALSE),VLOOKUP(B28,income,2,FALSE)),"")</f>
        <v>-30</v>
      </c>
      <c r="E28" s="43">
        <f t="shared" si="2"/>
        <v>3</v>
      </c>
      <c r="F28" s="41">
        <f t="shared" si="6"/>
        <v>45615</v>
      </c>
      <c r="G28" s="44" t="str">
        <f t="shared" si="0"/>
        <v/>
      </c>
      <c r="H28" s="111">
        <f t="shared" si="1"/>
        <v>12018.119999999999</v>
      </c>
      <c r="I28" s="111"/>
      <c r="K28" s="63">
        <f t="shared" si="14"/>
        <v>45557</v>
      </c>
      <c r="L28" s="64">
        <f t="shared" si="8"/>
        <v>45558</v>
      </c>
      <c r="M28" s="68">
        <f t="shared" si="9"/>
        <v>45559</v>
      </c>
      <c r="N28" s="68">
        <f t="shared" si="10"/>
        <v>45560</v>
      </c>
      <c r="O28" s="68">
        <f t="shared" si="11"/>
        <v>45561</v>
      </c>
      <c r="P28" s="69">
        <f t="shared" si="12"/>
        <v>45562</v>
      </c>
      <c r="Q28" s="89">
        <f t="shared" si="13"/>
        <v>45563</v>
      </c>
      <c r="R28" s="123"/>
      <c r="S28" s="119">
        <v>10</v>
      </c>
      <c r="T28" s="41">
        <f t="shared" si="7"/>
        <v>45757</v>
      </c>
      <c r="U28" s="32" t="s">
        <v>21</v>
      </c>
      <c r="V28" s="111">
        <v>-11</v>
      </c>
      <c r="W28" s="111"/>
      <c r="AC28" s="45">
        <f t="shared" si="3"/>
        <v>45887</v>
      </c>
      <c r="AD28" s="46">
        <f t="shared" si="4"/>
        <v>46288</v>
      </c>
      <c r="AE28" s="46">
        <f t="shared" si="5"/>
        <v>45877</v>
      </c>
    </row>
    <row r="29" spans="1:31" ht="15.75" thickBot="1" x14ac:dyDescent="0.3">
      <c r="A29" s="41">
        <v>45636</v>
      </c>
      <c r="B29" s="42" t="s">
        <v>19</v>
      </c>
      <c r="C29" s="111">
        <f>_xlfn.IFNA(_xlfn.IFNA(VLOOKUP(B29,Withd,2,FALSE),VLOOKUP(B29,income,2,FALSE)),"")</f>
        <v>-35</v>
      </c>
      <c r="E29" s="43">
        <f t="shared" si="2"/>
        <v>4</v>
      </c>
      <c r="F29" s="41">
        <f t="shared" si="6"/>
        <v>45616</v>
      </c>
      <c r="G29" s="44" t="str">
        <f t="shared" si="0"/>
        <v>AMEX</v>
      </c>
      <c r="H29" s="111">
        <f t="shared" si="1"/>
        <v>11718.119999999999</v>
      </c>
      <c r="I29" s="111"/>
      <c r="K29" s="71">
        <f t="shared" si="14"/>
        <v>45564</v>
      </c>
      <c r="L29" s="72">
        <f t="shared" si="8"/>
        <v>45565</v>
      </c>
      <c r="M29" s="58">
        <f t="shared" si="9"/>
        <v>45566</v>
      </c>
      <c r="N29" s="65">
        <f t="shared" si="10"/>
        <v>45567</v>
      </c>
      <c r="O29" s="65">
        <f t="shared" si="11"/>
        <v>45568</v>
      </c>
      <c r="P29" s="66">
        <f t="shared" si="12"/>
        <v>45569</v>
      </c>
      <c r="Q29" s="88">
        <f t="shared" si="13"/>
        <v>45570</v>
      </c>
      <c r="R29" s="123"/>
      <c r="S29" s="119"/>
      <c r="T29" s="41">
        <f>DATE(2025,$T$22,1+(7*3))-WEEKDAY(DATE(2025,$T$22,8-2))</f>
        <v>45768</v>
      </c>
      <c r="U29" s="32" t="s">
        <v>20</v>
      </c>
      <c r="V29" s="111">
        <v>-60</v>
      </c>
      <c r="W29" s="111"/>
      <c r="Y29" s="62"/>
      <c r="AC29" s="45">
        <f t="shared" si="3"/>
        <v>45901</v>
      </c>
      <c r="AD29" s="46">
        <f t="shared" si="4"/>
        <v>46323</v>
      </c>
      <c r="AE29" s="46">
        <f t="shared" si="5"/>
        <v>45891</v>
      </c>
    </row>
    <row r="30" spans="1:31" x14ac:dyDescent="0.25">
      <c r="A30" s="41">
        <v>45636</v>
      </c>
      <c r="B30" s="42" t="s">
        <v>21</v>
      </c>
      <c r="C30" s="111">
        <f>_xlfn.IFNA(_xlfn.IFNA(VLOOKUP(B30,Withd,2,FALSE),VLOOKUP(B30,income,2,FALSE)),"")</f>
        <v>-11</v>
      </c>
      <c r="E30" s="43">
        <f t="shared" si="2"/>
        <v>5</v>
      </c>
      <c r="F30" s="41">
        <f t="shared" si="6"/>
        <v>45617</v>
      </c>
      <c r="G30" s="44" t="str">
        <f t="shared" si="0"/>
        <v/>
      </c>
      <c r="H30" s="111">
        <f t="shared" si="1"/>
        <v>11718.119999999999</v>
      </c>
      <c r="I30" s="111"/>
      <c r="J30" s="124">
        <f>K30</f>
        <v>45571</v>
      </c>
      <c r="K30" s="63">
        <f t="shared" si="14"/>
        <v>45571</v>
      </c>
      <c r="L30" s="64">
        <f t="shared" si="8"/>
        <v>45572</v>
      </c>
      <c r="M30" s="65">
        <f t="shared" si="9"/>
        <v>45573</v>
      </c>
      <c r="N30" s="65">
        <f t="shared" si="10"/>
        <v>45574</v>
      </c>
      <c r="O30" s="65">
        <f t="shared" si="11"/>
        <v>45575</v>
      </c>
      <c r="P30" s="66">
        <f t="shared" si="12"/>
        <v>45576</v>
      </c>
      <c r="Q30" s="88">
        <f t="shared" si="13"/>
        <v>45577</v>
      </c>
      <c r="R30" s="123"/>
      <c r="S30" s="119">
        <v>15</v>
      </c>
      <c r="T30" s="41">
        <f>DATE(2025,$T$22,S30)</f>
        <v>45762</v>
      </c>
      <c r="U30" s="32" t="s">
        <v>46</v>
      </c>
      <c r="V30" s="111">
        <v>-940</v>
      </c>
      <c r="W30" s="111"/>
      <c r="Y30" s="62"/>
      <c r="AC30" s="45">
        <f t="shared" si="3"/>
        <v>45915</v>
      </c>
      <c r="AD30" s="46">
        <f t="shared" si="4"/>
        <v>46351</v>
      </c>
      <c r="AE30" s="46">
        <f t="shared" si="5"/>
        <v>45905</v>
      </c>
    </row>
    <row r="31" spans="1:31" x14ac:dyDescent="0.25">
      <c r="A31" s="41">
        <v>45636</v>
      </c>
      <c r="B31" s="51" t="s">
        <v>35</v>
      </c>
      <c r="C31" s="111">
        <f>_xlfn.IFNA(_xlfn.IFNA(VLOOKUP(B31,Withd,2,FALSE),VLOOKUP(B31,income,2,FALSE)),"")</f>
        <v>-200</v>
      </c>
      <c r="E31" s="43">
        <f t="shared" si="2"/>
        <v>6</v>
      </c>
      <c r="F31" s="41">
        <f t="shared" si="6"/>
        <v>45618</v>
      </c>
      <c r="G31" s="44" t="str">
        <f t="shared" si="0"/>
        <v/>
      </c>
      <c r="H31" s="111">
        <f t="shared" si="1"/>
        <v>11718.119999999999</v>
      </c>
      <c r="I31" s="111"/>
      <c r="J31" s="125">
        <f>K30</f>
        <v>45571</v>
      </c>
      <c r="K31" s="63">
        <f t="shared" si="14"/>
        <v>45578</v>
      </c>
      <c r="L31" s="64">
        <f t="shared" si="8"/>
        <v>45579</v>
      </c>
      <c r="M31" s="65">
        <f t="shared" si="9"/>
        <v>45580</v>
      </c>
      <c r="N31" s="65">
        <f t="shared" si="10"/>
        <v>45581</v>
      </c>
      <c r="O31" s="65">
        <f t="shared" si="11"/>
        <v>45582</v>
      </c>
      <c r="P31" s="66">
        <f t="shared" si="12"/>
        <v>45583</v>
      </c>
      <c r="Q31" s="88">
        <f t="shared" si="13"/>
        <v>45584</v>
      </c>
      <c r="R31" s="123"/>
      <c r="S31" s="119">
        <v>10</v>
      </c>
      <c r="T31" s="41">
        <f t="shared" ref="T31:T35" si="15">DATE(2025,$T$22,S31)</f>
        <v>45757</v>
      </c>
      <c r="U31" s="32" t="s">
        <v>35</v>
      </c>
      <c r="V31" s="111">
        <v>-200</v>
      </c>
      <c r="W31" s="111"/>
      <c r="AC31" s="45">
        <f t="shared" si="3"/>
        <v>45929</v>
      </c>
      <c r="AD31" s="46">
        <f t="shared" si="4"/>
        <v>46379</v>
      </c>
      <c r="AE31" s="46">
        <f t="shared" si="5"/>
        <v>45919</v>
      </c>
    </row>
    <row r="32" spans="1:31" ht="15.75" thickBot="1" x14ac:dyDescent="0.3">
      <c r="A32" s="41">
        <v>45638</v>
      </c>
      <c r="B32" s="42" t="s">
        <v>5</v>
      </c>
      <c r="C32" s="111">
        <f>_xlfn.IFNA(_xlfn.IFNA(VLOOKUP(B32,Withd,2,FALSE),VLOOKUP(B32,income,2,FALSE)),"")</f>
        <v>-475</v>
      </c>
      <c r="E32" s="43">
        <f t="shared" si="2"/>
        <v>7</v>
      </c>
      <c r="F32" s="41">
        <f t="shared" si="6"/>
        <v>45619</v>
      </c>
      <c r="G32" s="44" t="str">
        <f t="shared" si="0"/>
        <v/>
      </c>
      <c r="H32" s="111">
        <f t="shared" si="1"/>
        <v>11718.119999999999</v>
      </c>
      <c r="I32" s="111"/>
      <c r="K32" s="63">
        <f t="shared" si="14"/>
        <v>45585</v>
      </c>
      <c r="L32" s="64">
        <f t="shared" si="8"/>
        <v>45586</v>
      </c>
      <c r="M32" s="65">
        <f t="shared" si="9"/>
        <v>45587</v>
      </c>
      <c r="N32" s="65">
        <f t="shared" si="10"/>
        <v>45588</v>
      </c>
      <c r="O32" s="65">
        <f t="shared" si="11"/>
        <v>45589</v>
      </c>
      <c r="P32" s="69">
        <f t="shared" si="12"/>
        <v>45590</v>
      </c>
      <c r="Q32" s="89">
        <f t="shared" si="13"/>
        <v>45591</v>
      </c>
      <c r="R32" s="123"/>
      <c r="S32" s="119">
        <v>13</v>
      </c>
      <c r="T32" s="41">
        <f t="shared" si="15"/>
        <v>45760</v>
      </c>
      <c r="U32" s="32" t="s">
        <v>33</v>
      </c>
      <c r="V32" s="111">
        <v>-930</v>
      </c>
      <c r="W32" s="111"/>
      <c r="AC32" s="45">
        <f t="shared" si="3"/>
        <v>45943</v>
      </c>
      <c r="AD32" s="46">
        <f t="shared" si="4"/>
        <v>46414</v>
      </c>
      <c r="AE32" s="46">
        <f t="shared" si="5"/>
        <v>45933</v>
      </c>
    </row>
    <row r="33" spans="1:31" ht="15.75" thickBot="1" x14ac:dyDescent="0.3">
      <c r="A33" s="41">
        <v>45639</v>
      </c>
      <c r="B33" s="42" t="s">
        <v>33</v>
      </c>
      <c r="C33" s="111">
        <f>_xlfn.IFNA(_xlfn.IFNA(VLOOKUP(B33,Withd,2,FALSE),VLOOKUP(B33,income,2,FALSE)),"")</f>
        <v>-930</v>
      </c>
      <c r="E33" s="43">
        <f t="shared" si="2"/>
        <v>1</v>
      </c>
      <c r="F33" s="41">
        <f t="shared" si="6"/>
        <v>45620</v>
      </c>
      <c r="G33" s="44" t="str">
        <f t="shared" si="0"/>
        <v/>
      </c>
      <c r="H33" s="111">
        <f t="shared" si="1"/>
        <v>11718.119999999999</v>
      </c>
      <c r="I33" s="111"/>
      <c r="K33" s="71">
        <f t="shared" si="14"/>
        <v>45592</v>
      </c>
      <c r="L33" s="72">
        <f t="shared" si="8"/>
        <v>45593</v>
      </c>
      <c r="M33" s="68">
        <f t="shared" si="9"/>
        <v>45594</v>
      </c>
      <c r="N33" s="68">
        <f t="shared" si="10"/>
        <v>45595</v>
      </c>
      <c r="O33" s="68">
        <f t="shared" si="11"/>
        <v>45596</v>
      </c>
      <c r="P33" s="83">
        <f t="shared" si="12"/>
        <v>45597</v>
      </c>
      <c r="Q33" s="88">
        <f t="shared" si="13"/>
        <v>45598</v>
      </c>
      <c r="R33" s="123"/>
      <c r="S33" s="119">
        <v>28</v>
      </c>
      <c r="T33" s="41">
        <f t="shared" si="15"/>
        <v>45775</v>
      </c>
      <c r="U33" s="32" t="s">
        <v>23</v>
      </c>
      <c r="V33" s="111">
        <v>-65</v>
      </c>
      <c r="W33" s="111"/>
      <c r="Y33" s="55"/>
      <c r="Z33" s="41"/>
      <c r="AC33" s="45">
        <f t="shared" si="3"/>
        <v>45957</v>
      </c>
      <c r="AD33" s="46">
        <f t="shared" si="4"/>
        <v>46442</v>
      </c>
      <c r="AE33" s="46">
        <f t="shared" si="5"/>
        <v>45947</v>
      </c>
    </row>
    <row r="34" spans="1:31" x14ac:dyDescent="0.25">
      <c r="A34" s="50">
        <v>45639</v>
      </c>
      <c r="B34" s="67" t="s">
        <v>6</v>
      </c>
      <c r="C34" s="111">
        <f>_xlfn.IFNA(_xlfn.IFNA(VLOOKUP(B34,Withd,2,FALSE),VLOOKUP(B34,income,2,FALSE)),"")</f>
        <v>2912.56</v>
      </c>
      <c r="E34" s="43">
        <f t="shared" si="2"/>
        <v>2</v>
      </c>
      <c r="F34" s="41">
        <f t="shared" si="6"/>
        <v>45621</v>
      </c>
      <c r="G34" s="44" t="str">
        <f t="shared" si="0"/>
        <v/>
      </c>
      <c r="H34" s="111">
        <f t="shared" si="1"/>
        <v>11718.119999999999</v>
      </c>
      <c r="I34" s="111"/>
      <c r="K34" s="63">
        <f t="shared" si="14"/>
        <v>45599</v>
      </c>
      <c r="L34" s="64">
        <f t="shared" si="8"/>
        <v>45600</v>
      </c>
      <c r="M34" s="65">
        <f t="shared" si="9"/>
        <v>45601</v>
      </c>
      <c r="N34" s="65">
        <f t="shared" si="10"/>
        <v>45602</v>
      </c>
      <c r="O34" s="65">
        <f t="shared" si="11"/>
        <v>45603</v>
      </c>
      <c r="P34" s="66">
        <f t="shared" si="12"/>
        <v>45604</v>
      </c>
      <c r="Q34" s="88">
        <f t="shared" si="13"/>
        <v>45605</v>
      </c>
      <c r="R34" s="123"/>
      <c r="S34" s="119">
        <v>28</v>
      </c>
      <c r="T34" s="41">
        <f t="shared" si="15"/>
        <v>45775</v>
      </c>
      <c r="U34" s="32" t="s">
        <v>22</v>
      </c>
      <c r="V34" s="111">
        <v>-75</v>
      </c>
      <c r="W34" s="111"/>
      <c r="AB34" s="113"/>
      <c r="AC34" s="45">
        <f t="shared" si="3"/>
        <v>45971</v>
      </c>
      <c r="AD34" s="46">
        <f t="shared" si="4"/>
        <v>46470</v>
      </c>
      <c r="AE34" s="46">
        <f t="shared" si="5"/>
        <v>45961</v>
      </c>
    </row>
    <row r="35" spans="1:31" x14ac:dyDescent="0.25">
      <c r="A35" s="41">
        <v>45640</v>
      </c>
      <c r="B35" s="42" t="s">
        <v>34</v>
      </c>
      <c r="C35" s="111">
        <f>_xlfn.IFNA(_xlfn.IFNA(VLOOKUP(B35,Withd,2,FALSE),VLOOKUP(B35,income,2,FALSE)),"")</f>
        <v>-105</v>
      </c>
      <c r="E35" s="43">
        <f t="shared" si="2"/>
        <v>3</v>
      </c>
      <c r="F35" s="41">
        <f t="shared" si="6"/>
        <v>45622</v>
      </c>
      <c r="G35" s="44" t="str">
        <f t="shared" si="0"/>
        <v/>
      </c>
      <c r="H35" s="111">
        <f t="shared" si="1"/>
        <v>11718.119999999999</v>
      </c>
      <c r="I35" s="111"/>
      <c r="J35" s="124">
        <f>K35</f>
        <v>45606</v>
      </c>
      <c r="K35" s="63">
        <f t="shared" si="14"/>
        <v>45606</v>
      </c>
      <c r="L35" s="64">
        <f t="shared" si="8"/>
        <v>45607</v>
      </c>
      <c r="M35" s="65">
        <f t="shared" si="9"/>
        <v>45608</v>
      </c>
      <c r="N35" s="65">
        <f t="shared" si="10"/>
        <v>45609</v>
      </c>
      <c r="O35" s="65">
        <f t="shared" si="11"/>
        <v>45610</v>
      </c>
      <c r="P35" s="66">
        <f t="shared" si="12"/>
        <v>45611</v>
      </c>
      <c r="Q35" s="88">
        <f t="shared" si="13"/>
        <v>45612</v>
      </c>
      <c r="R35" s="123"/>
      <c r="S35" s="119">
        <v>12</v>
      </c>
      <c r="T35" s="41">
        <f t="shared" si="15"/>
        <v>45759</v>
      </c>
      <c r="U35" s="32" t="s">
        <v>5</v>
      </c>
      <c r="V35" s="111">
        <v>-475</v>
      </c>
      <c r="W35" s="111"/>
      <c r="AC35" s="45">
        <f t="shared" si="3"/>
        <v>45985</v>
      </c>
      <c r="AD35" s="46">
        <f t="shared" si="4"/>
        <v>46505</v>
      </c>
      <c r="AE35" s="46">
        <f t="shared" si="5"/>
        <v>45975</v>
      </c>
    </row>
    <row r="36" spans="1:31" x14ac:dyDescent="0.25">
      <c r="A36" s="70">
        <v>45641</v>
      </c>
      <c r="B36" s="73" t="s">
        <v>46</v>
      </c>
      <c r="C36" s="111">
        <f>_xlfn.IFNA(_xlfn.IFNA(VLOOKUP(B36,Withd,2,FALSE),VLOOKUP(B36,income,2,FALSE)),"")</f>
        <v>-940</v>
      </c>
      <c r="E36" s="43">
        <f t="shared" si="2"/>
        <v>4</v>
      </c>
      <c r="F36" s="41">
        <f t="shared" si="6"/>
        <v>45623</v>
      </c>
      <c r="G36" s="44" t="str">
        <f t="shared" ref="G36:G68" si="16">LookUpConcat(F36,Dates,TDesc,", ")</f>
        <v>IIS</v>
      </c>
      <c r="H36" s="111">
        <f t="shared" ref="H36:H67" si="17">H35+SUMIF(Dates,F36,TAMTS)</f>
        <v>12945.119999999999</v>
      </c>
      <c r="I36" s="111"/>
      <c r="J36" s="125">
        <f>K35</f>
        <v>45606</v>
      </c>
      <c r="K36" s="63">
        <f t="shared" si="14"/>
        <v>45613</v>
      </c>
      <c r="L36" s="64">
        <f t="shared" si="8"/>
        <v>45614</v>
      </c>
      <c r="M36" s="65">
        <f t="shared" si="9"/>
        <v>45615</v>
      </c>
      <c r="N36" s="65">
        <f t="shared" si="10"/>
        <v>45616</v>
      </c>
      <c r="O36" s="65">
        <f t="shared" si="11"/>
        <v>45617</v>
      </c>
      <c r="P36" s="66">
        <f t="shared" si="12"/>
        <v>45618</v>
      </c>
      <c r="Q36" s="88">
        <f t="shared" si="13"/>
        <v>45619</v>
      </c>
      <c r="R36" s="123"/>
      <c r="S36" s="119"/>
      <c r="T36" s="41">
        <f>DATE(2025,$T$22,1+(7*4))-WEEKDAY(DATE(2025,$T$22,8-4))</f>
        <v>45770</v>
      </c>
      <c r="U36" s="74" t="s">
        <v>7</v>
      </c>
      <c r="V36" s="111">
        <v>1227</v>
      </c>
      <c r="W36" s="111"/>
      <c r="Y36" s="33"/>
      <c r="AC36" s="45">
        <f t="shared" si="3"/>
        <v>45999</v>
      </c>
      <c r="AD36" s="46">
        <f t="shared" si="4"/>
        <v>46533</v>
      </c>
      <c r="AE36" s="46">
        <f t="shared" si="5"/>
        <v>45989</v>
      </c>
    </row>
    <row r="37" spans="1:31" ht="15.75" thickBot="1" x14ac:dyDescent="0.3">
      <c r="A37" s="50">
        <v>45642</v>
      </c>
      <c r="B37" s="67" t="s">
        <v>20</v>
      </c>
      <c r="C37" s="111">
        <f>_xlfn.IFNA(_xlfn.IFNA(VLOOKUP(B37,Withd,2,FALSE),VLOOKUP(B37,income,2,FALSE)),"")</f>
        <v>-60</v>
      </c>
      <c r="E37" s="43">
        <f t="shared" si="2"/>
        <v>5</v>
      </c>
      <c r="F37" s="41">
        <f t="shared" si="6"/>
        <v>45624</v>
      </c>
      <c r="G37" s="44" t="str">
        <f t="shared" si="16"/>
        <v>Gas, Power</v>
      </c>
      <c r="H37" s="111">
        <f t="shared" si="17"/>
        <v>12805.119999999999</v>
      </c>
      <c r="I37" s="111"/>
      <c r="K37" s="71">
        <f t="shared" si="14"/>
        <v>45620</v>
      </c>
      <c r="L37" s="72">
        <f t="shared" si="8"/>
        <v>45621</v>
      </c>
      <c r="M37" s="68">
        <f t="shared" si="9"/>
        <v>45622</v>
      </c>
      <c r="N37" s="68">
        <f t="shared" si="10"/>
        <v>45623</v>
      </c>
      <c r="O37" s="68">
        <f t="shared" si="11"/>
        <v>45624</v>
      </c>
      <c r="P37" s="69">
        <f t="shared" si="12"/>
        <v>45625</v>
      </c>
      <c r="Q37" s="89">
        <f t="shared" si="13"/>
        <v>45626</v>
      </c>
      <c r="R37" s="123"/>
      <c r="S37" s="119">
        <v>20</v>
      </c>
      <c r="T37" s="41">
        <f>DATE(2025,$T$22,S37)</f>
        <v>45767</v>
      </c>
      <c r="U37" s="32" t="s">
        <v>11</v>
      </c>
      <c r="V37" s="113">
        <v>-300</v>
      </c>
      <c r="W37" s="111"/>
      <c r="AC37" s="45">
        <f t="shared" si="3"/>
        <v>46013</v>
      </c>
      <c r="AD37" s="46">
        <f t="shared" si="4"/>
        <v>46561</v>
      </c>
      <c r="AE37" s="46">
        <f t="shared" si="5"/>
        <v>46003</v>
      </c>
    </row>
    <row r="38" spans="1:31" x14ac:dyDescent="0.25">
      <c r="A38" s="41">
        <v>45642</v>
      </c>
      <c r="B38" s="42" t="s">
        <v>8</v>
      </c>
      <c r="C38" s="111">
        <f>_xlfn.IFNA(_xlfn.IFNA(VLOOKUP(B38,Withd,2,FALSE),VLOOKUP(B38,income,2,FALSE)),"")</f>
        <v>-110</v>
      </c>
      <c r="E38" s="43">
        <f t="shared" si="2"/>
        <v>6</v>
      </c>
      <c r="F38" s="41">
        <f t="shared" si="6"/>
        <v>45625</v>
      </c>
      <c r="G38" s="44" t="str">
        <f t="shared" si="16"/>
        <v>Paycheck</v>
      </c>
      <c r="H38" s="111">
        <f t="shared" si="17"/>
        <v>15717.679999999998</v>
      </c>
      <c r="I38" s="111"/>
      <c r="K38" s="63">
        <f t="shared" si="14"/>
        <v>45627</v>
      </c>
      <c r="L38" s="64">
        <f t="shared" si="8"/>
        <v>45628</v>
      </c>
      <c r="M38" s="65">
        <f t="shared" si="9"/>
        <v>45629</v>
      </c>
      <c r="N38" s="65">
        <f t="shared" si="10"/>
        <v>45630</v>
      </c>
      <c r="O38" s="65">
        <f t="shared" si="11"/>
        <v>45631</v>
      </c>
      <c r="P38" s="66">
        <f t="shared" si="12"/>
        <v>45632</v>
      </c>
      <c r="Q38" s="88">
        <f t="shared" si="13"/>
        <v>45633</v>
      </c>
      <c r="R38" s="123"/>
      <c r="S38" s="119">
        <v>15</v>
      </c>
      <c r="T38" s="120">
        <f>DATE(2025,$T$22,S38)</f>
        <v>45762</v>
      </c>
      <c r="U38" s="121" t="s">
        <v>45</v>
      </c>
      <c r="V38" s="122">
        <v>-850</v>
      </c>
      <c r="W38" s="111"/>
      <c r="AC38" s="45">
        <f t="shared" si="3"/>
        <v>46027</v>
      </c>
      <c r="AD38" s="46">
        <f t="shared" si="4"/>
        <v>46596</v>
      </c>
      <c r="AE38" s="46">
        <f t="shared" si="5"/>
        <v>46017</v>
      </c>
    </row>
    <row r="39" spans="1:31" x14ac:dyDescent="0.25">
      <c r="A39" s="50">
        <v>45646</v>
      </c>
      <c r="B39" s="51" t="s">
        <v>11</v>
      </c>
      <c r="C39" s="111">
        <f>_xlfn.IFNA(_xlfn.IFNA(VLOOKUP(B39,Withd,2,FALSE),VLOOKUP(B39,income,2,FALSE)),"")</f>
        <v>-300</v>
      </c>
      <c r="E39" s="43">
        <f t="shared" si="2"/>
        <v>7</v>
      </c>
      <c r="F39" s="41">
        <f t="shared" si="6"/>
        <v>45626</v>
      </c>
      <c r="G39" s="44" t="str">
        <f t="shared" si="16"/>
        <v/>
      </c>
      <c r="H39" s="111">
        <f t="shared" si="17"/>
        <v>15717.679999999998</v>
      </c>
      <c r="I39" s="111"/>
      <c r="J39" s="124">
        <f>K39</f>
        <v>45634</v>
      </c>
      <c r="K39" s="63">
        <f t="shared" si="14"/>
        <v>45634</v>
      </c>
      <c r="L39" s="64">
        <f t="shared" si="8"/>
        <v>45635</v>
      </c>
      <c r="M39" s="65">
        <f t="shared" si="9"/>
        <v>45636</v>
      </c>
      <c r="N39" s="65">
        <f t="shared" si="10"/>
        <v>45637</v>
      </c>
      <c r="O39" s="65">
        <f t="shared" si="11"/>
        <v>45638</v>
      </c>
      <c r="P39" s="66">
        <f t="shared" si="12"/>
        <v>45639</v>
      </c>
      <c r="Q39" s="88">
        <f t="shared" si="13"/>
        <v>45640</v>
      </c>
      <c r="R39" s="123"/>
      <c r="S39" s="55"/>
      <c r="W39" s="111"/>
      <c r="AC39" s="45">
        <f t="shared" si="3"/>
        <v>46041</v>
      </c>
      <c r="AD39" s="46">
        <f t="shared" si="4"/>
        <v>46624</v>
      </c>
      <c r="AE39" s="46">
        <f t="shared" si="5"/>
        <v>46031</v>
      </c>
    </row>
    <row r="40" spans="1:31" x14ac:dyDescent="0.25">
      <c r="A40" s="50">
        <v>45651</v>
      </c>
      <c r="B40" s="51" t="s">
        <v>7</v>
      </c>
      <c r="C40" s="111">
        <f>_xlfn.IFNA(_xlfn.IFNA(VLOOKUP(B40,Withd,2,FALSE),VLOOKUP(B40,income,2,FALSE)),"")</f>
        <v>1227</v>
      </c>
      <c r="E40" s="43">
        <f t="shared" si="2"/>
        <v>1</v>
      </c>
      <c r="F40" s="41">
        <f t="shared" si="6"/>
        <v>45627</v>
      </c>
      <c r="G40" s="44" t="str">
        <f t="shared" si="16"/>
        <v>Rent</v>
      </c>
      <c r="H40" s="111">
        <f t="shared" si="17"/>
        <v>14667.679999999998</v>
      </c>
      <c r="I40" s="111"/>
      <c r="J40" s="125">
        <f>K39</f>
        <v>45634</v>
      </c>
      <c r="K40" s="63">
        <f t="shared" si="14"/>
        <v>45641</v>
      </c>
      <c r="L40" s="64">
        <f t="shared" si="8"/>
        <v>45642</v>
      </c>
      <c r="M40" s="65">
        <f t="shared" si="9"/>
        <v>45643</v>
      </c>
      <c r="N40" s="65">
        <f t="shared" si="10"/>
        <v>45644</v>
      </c>
      <c r="O40" s="65">
        <f t="shared" si="11"/>
        <v>45645</v>
      </c>
      <c r="P40" s="66">
        <f t="shared" si="12"/>
        <v>45646</v>
      </c>
      <c r="Q40" s="88">
        <f t="shared" si="13"/>
        <v>45647</v>
      </c>
      <c r="R40" s="123"/>
      <c r="S40" s="41"/>
      <c r="T40" s="41"/>
      <c r="U40" s="32" t="s">
        <v>12</v>
      </c>
      <c r="V40" s="111">
        <v>-170</v>
      </c>
      <c r="W40" s="76"/>
      <c r="X40" s="76" t="s">
        <v>6</v>
      </c>
      <c r="Y40" s="130">
        <v>2912.56</v>
      </c>
      <c r="Z40" s="130"/>
      <c r="AA40" s="130"/>
      <c r="AC40" s="45">
        <f t="shared" si="3"/>
        <v>46055</v>
      </c>
      <c r="AD40" s="46">
        <f t="shared" si="4"/>
        <v>46652</v>
      </c>
      <c r="AE40" s="46">
        <f t="shared" si="5"/>
        <v>46045</v>
      </c>
    </row>
    <row r="41" spans="1:31" ht="15" customHeight="1" thickBot="1" x14ac:dyDescent="0.3">
      <c r="A41" s="41">
        <v>45653</v>
      </c>
      <c r="B41" s="42" t="s">
        <v>6</v>
      </c>
      <c r="C41" s="111">
        <f>_xlfn.IFNA(_xlfn.IFNA(VLOOKUP(B41,Withd,2,FALSE),VLOOKUP(B41,income,2,FALSE)),"")</f>
        <v>2912.56</v>
      </c>
      <c r="E41" s="43">
        <f t="shared" si="2"/>
        <v>2</v>
      </c>
      <c r="F41" s="41">
        <f t="shared" si="6"/>
        <v>45628</v>
      </c>
      <c r="G41" s="44" t="str">
        <f t="shared" si="16"/>
        <v>Clean</v>
      </c>
      <c r="H41" s="111">
        <f t="shared" si="17"/>
        <v>14557.679999999998</v>
      </c>
      <c r="I41" s="111"/>
      <c r="K41" s="63">
        <f t="shared" si="14"/>
        <v>45648</v>
      </c>
      <c r="L41" s="64">
        <f t="shared" si="8"/>
        <v>45649</v>
      </c>
      <c r="M41" s="65">
        <f t="shared" si="9"/>
        <v>45650</v>
      </c>
      <c r="N41" s="68">
        <f t="shared" si="10"/>
        <v>45651</v>
      </c>
      <c r="O41" s="68">
        <f t="shared" si="11"/>
        <v>45652</v>
      </c>
      <c r="P41" s="69">
        <f t="shared" si="12"/>
        <v>45653</v>
      </c>
      <c r="Q41" s="89">
        <f t="shared" si="13"/>
        <v>45654</v>
      </c>
      <c r="R41" s="123"/>
      <c r="S41" s="41"/>
      <c r="T41" s="41"/>
      <c r="U41" s="32" t="s">
        <v>8</v>
      </c>
      <c r="V41" s="114">
        <v>-110</v>
      </c>
      <c r="W41" s="114"/>
    </row>
    <row r="42" spans="1:31" ht="15" customHeight="1" thickBot="1" x14ac:dyDescent="0.3">
      <c r="A42" s="41">
        <v>45654</v>
      </c>
      <c r="B42" s="42" t="s">
        <v>23</v>
      </c>
      <c r="C42" s="111">
        <f>_xlfn.IFNA(_xlfn.IFNA(VLOOKUP(B42,Withd,2,FALSE),VLOOKUP(B42,income,2,FALSE)),"")</f>
        <v>-65</v>
      </c>
      <c r="E42" s="43">
        <f t="shared" si="2"/>
        <v>3</v>
      </c>
      <c r="F42" s="41">
        <f t="shared" si="6"/>
        <v>45629</v>
      </c>
      <c r="G42" s="44" t="str">
        <f t="shared" si="16"/>
        <v/>
      </c>
      <c r="H42" s="111">
        <f t="shared" si="17"/>
        <v>14557.679999999998</v>
      </c>
      <c r="I42" s="111"/>
      <c r="K42" s="71">
        <f t="shared" si="14"/>
        <v>45655</v>
      </c>
      <c r="L42" s="72">
        <f t="shared" si="8"/>
        <v>45656</v>
      </c>
      <c r="M42" s="68">
        <f t="shared" si="9"/>
        <v>45657</v>
      </c>
      <c r="N42" s="58">
        <f t="shared" si="10"/>
        <v>45658</v>
      </c>
      <c r="O42" s="65">
        <f t="shared" si="11"/>
        <v>45659</v>
      </c>
      <c r="P42" s="66">
        <f t="shared" si="12"/>
        <v>45660</v>
      </c>
      <c r="Q42" s="88">
        <f t="shared" si="13"/>
        <v>45661</v>
      </c>
      <c r="R42" s="123"/>
      <c r="S42" s="41"/>
      <c r="T42" s="41"/>
      <c r="U42" s="77" t="s">
        <v>26</v>
      </c>
      <c r="V42" s="115">
        <f>SUM(V23:V35)+(4*V40)+(2*V41)+V37+V38</f>
        <v>-6296</v>
      </c>
      <c r="X42" s="77" t="s">
        <v>27</v>
      </c>
      <c r="Y42" s="132">
        <f>Y40*2+V36</f>
        <v>7052.12</v>
      </c>
      <c r="Z42" s="132"/>
      <c r="AA42" s="133"/>
    </row>
    <row r="43" spans="1:31" ht="15" customHeight="1" x14ac:dyDescent="0.25">
      <c r="A43" s="50">
        <v>45654</v>
      </c>
      <c r="B43" s="51" t="s">
        <v>22</v>
      </c>
      <c r="C43" s="111">
        <f>_xlfn.IFNA(_xlfn.IFNA(VLOOKUP(B43,Withd,2,FALSE),VLOOKUP(B43,income,2,FALSE)),"")</f>
        <v>-75</v>
      </c>
      <c r="E43" s="43">
        <f t="shared" si="2"/>
        <v>4</v>
      </c>
      <c r="F43" s="41">
        <f t="shared" si="6"/>
        <v>45630</v>
      </c>
      <c r="G43" s="44" t="str">
        <f t="shared" si="16"/>
        <v/>
      </c>
      <c r="H43" s="111">
        <f t="shared" si="17"/>
        <v>14557.679999999998</v>
      </c>
      <c r="I43" s="111"/>
      <c r="J43" s="124">
        <f>K43</f>
        <v>45662</v>
      </c>
      <c r="K43" s="63">
        <f t="shared" si="14"/>
        <v>45662</v>
      </c>
      <c r="L43" s="64">
        <f t="shared" si="8"/>
        <v>45663</v>
      </c>
      <c r="M43" s="65">
        <f t="shared" si="9"/>
        <v>45664</v>
      </c>
      <c r="N43" s="65">
        <f t="shared" si="10"/>
        <v>45665</v>
      </c>
      <c r="O43" s="65">
        <f t="shared" si="11"/>
        <v>45666</v>
      </c>
      <c r="P43" s="66">
        <f t="shared" si="12"/>
        <v>45667</v>
      </c>
      <c r="Q43" s="88">
        <f t="shared" si="13"/>
        <v>45668</v>
      </c>
      <c r="R43" s="123"/>
      <c r="U43" s="136" t="str">
        <f>IF(X43&gt;0,"Surplus","Deficit")</f>
        <v>Surplus</v>
      </c>
      <c r="V43" s="136"/>
      <c r="W43" s="136"/>
      <c r="X43" s="131">
        <f>Y42+V42</f>
        <v>756.11999999999989</v>
      </c>
      <c r="Y43" s="131"/>
      <c r="Z43" s="131"/>
    </row>
    <row r="44" spans="1:31" x14ac:dyDescent="0.25">
      <c r="A44" s="50">
        <v>45656</v>
      </c>
      <c r="B44" s="82" t="s">
        <v>8</v>
      </c>
      <c r="C44" s="111">
        <f>_xlfn.IFNA(_xlfn.IFNA(VLOOKUP(B44,Withd,2,FALSE),VLOOKUP(B44,income,2,FALSE)),"")</f>
        <v>-110</v>
      </c>
      <c r="E44" s="43">
        <f t="shared" si="2"/>
        <v>5</v>
      </c>
      <c r="F44" s="41">
        <f t="shared" si="6"/>
        <v>45631</v>
      </c>
      <c r="G44" s="44" t="str">
        <f t="shared" si="16"/>
        <v/>
      </c>
      <c r="H44" s="111">
        <f t="shared" si="17"/>
        <v>14557.679999999998</v>
      </c>
      <c r="I44" s="111"/>
      <c r="J44" s="125">
        <f>K43</f>
        <v>45662</v>
      </c>
      <c r="K44" s="63">
        <f t="shared" si="14"/>
        <v>45669</v>
      </c>
      <c r="L44" s="64">
        <f t="shared" si="8"/>
        <v>45670</v>
      </c>
      <c r="M44" s="65">
        <f t="shared" si="9"/>
        <v>45671</v>
      </c>
      <c r="N44" s="65">
        <f t="shared" si="10"/>
        <v>45672</v>
      </c>
      <c r="O44" s="65">
        <f t="shared" si="11"/>
        <v>45673</v>
      </c>
      <c r="P44" s="66">
        <f t="shared" si="12"/>
        <v>45674</v>
      </c>
      <c r="Q44" s="88">
        <f t="shared" si="13"/>
        <v>45675</v>
      </c>
      <c r="R44" s="123"/>
      <c r="S44" s="55"/>
      <c r="T44" s="41"/>
      <c r="V44" s="111"/>
      <c r="W44" s="78"/>
    </row>
    <row r="45" spans="1:31" ht="15" customHeight="1" thickBot="1" x14ac:dyDescent="0.3">
      <c r="A45" s="41">
        <v>45658</v>
      </c>
      <c r="B45" s="67" t="s">
        <v>4</v>
      </c>
      <c r="C45" s="111">
        <f>_xlfn.IFNA(_xlfn.IFNA(VLOOKUP(B45,Withd,2,FALSE),VLOOKUP(B45,income,2,FALSE)),"")</f>
        <v>-1050</v>
      </c>
      <c r="E45" s="43">
        <f t="shared" si="2"/>
        <v>6</v>
      </c>
      <c r="F45" s="41">
        <f t="shared" si="6"/>
        <v>45632</v>
      </c>
      <c r="G45" s="44" t="str">
        <f t="shared" si="16"/>
        <v/>
      </c>
      <c r="H45" s="111">
        <f t="shared" si="17"/>
        <v>14557.679999999998</v>
      </c>
      <c r="I45" s="111"/>
      <c r="K45" s="63">
        <f t="shared" si="14"/>
        <v>45676</v>
      </c>
      <c r="L45" s="64">
        <f t="shared" si="8"/>
        <v>45677</v>
      </c>
      <c r="M45" s="65">
        <f t="shared" si="9"/>
        <v>45678</v>
      </c>
      <c r="N45" s="65">
        <f t="shared" si="10"/>
        <v>45679</v>
      </c>
      <c r="O45" s="65">
        <f t="shared" si="11"/>
        <v>45680</v>
      </c>
      <c r="P45" s="66">
        <f t="shared" si="12"/>
        <v>45681</v>
      </c>
      <c r="Q45" s="89">
        <f t="shared" si="13"/>
        <v>45682</v>
      </c>
      <c r="R45" s="123"/>
      <c r="S45" s="79"/>
      <c r="T45" s="79"/>
      <c r="U45" s="55"/>
      <c r="W45" s="78"/>
    </row>
    <row r="46" spans="1:31" ht="15" customHeight="1" thickBot="1" x14ac:dyDescent="0.3">
      <c r="A46" s="41">
        <v>45664</v>
      </c>
      <c r="B46" s="51" t="s">
        <v>9</v>
      </c>
      <c r="C46" s="111">
        <f>_xlfn.IFNA(_xlfn.IFNA(VLOOKUP(B46,Withd,2,FALSE),VLOOKUP(B46,income,2,FALSE)),"")</f>
        <v>-270</v>
      </c>
      <c r="E46" s="43">
        <f t="shared" si="2"/>
        <v>7</v>
      </c>
      <c r="F46" s="41">
        <f t="shared" si="6"/>
        <v>45633</v>
      </c>
      <c r="G46" s="44" t="str">
        <f t="shared" si="16"/>
        <v>Tmobile</v>
      </c>
      <c r="H46" s="111">
        <f t="shared" si="17"/>
        <v>14287.679999999998</v>
      </c>
      <c r="I46" s="111"/>
      <c r="K46" s="71">
        <f t="shared" si="14"/>
        <v>45683</v>
      </c>
      <c r="L46" s="72">
        <f t="shared" si="8"/>
        <v>45684</v>
      </c>
      <c r="M46" s="68">
        <f t="shared" si="9"/>
        <v>45685</v>
      </c>
      <c r="N46" s="68">
        <f t="shared" si="10"/>
        <v>45686</v>
      </c>
      <c r="O46" s="68">
        <f t="shared" si="11"/>
        <v>45687</v>
      </c>
      <c r="P46" s="69">
        <f t="shared" si="12"/>
        <v>45688</v>
      </c>
      <c r="Q46" s="88">
        <f t="shared" si="13"/>
        <v>45689</v>
      </c>
      <c r="R46" s="123"/>
      <c r="S46" s="79"/>
      <c r="T46" s="44" t="s">
        <v>30</v>
      </c>
      <c r="U46" s="55"/>
      <c r="W46" s="78"/>
    </row>
    <row r="47" spans="1:31" x14ac:dyDescent="0.25">
      <c r="A47" s="41">
        <v>45667</v>
      </c>
      <c r="B47" s="51" t="s">
        <v>18</v>
      </c>
      <c r="C47" s="111">
        <f>_xlfn.IFNA(_xlfn.IFNA(VLOOKUP(B47,Withd,2,FALSE),VLOOKUP(B47,income,2,FALSE)),"")</f>
        <v>-30</v>
      </c>
      <c r="E47" s="43">
        <f t="shared" si="2"/>
        <v>1</v>
      </c>
      <c r="F47" s="41">
        <f t="shared" si="6"/>
        <v>45634</v>
      </c>
      <c r="G47" s="44" t="str">
        <f t="shared" si="16"/>
        <v/>
      </c>
      <c r="H47" s="111">
        <f t="shared" si="17"/>
        <v>14287.679999999998</v>
      </c>
      <c r="I47" s="111"/>
      <c r="K47" s="63">
        <f t="shared" si="14"/>
        <v>45690</v>
      </c>
      <c r="L47" s="64">
        <f t="shared" si="8"/>
        <v>45691</v>
      </c>
      <c r="M47" s="65">
        <f t="shared" si="9"/>
        <v>45692</v>
      </c>
      <c r="N47" s="65">
        <f t="shared" si="10"/>
        <v>45693</v>
      </c>
      <c r="O47" s="65">
        <f t="shared" si="11"/>
        <v>45694</v>
      </c>
      <c r="P47" s="66">
        <f t="shared" si="12"/>
        <v>45695</v>
      </c>
      <c r="Q47" s="88">
        <f t="shared" si="13"/>
        <v>45696</v>
      </c>
      <c r="R47" s="123"/>
      <c r="S47" s="79"/>
      <c r="T47" s="80" t="s">
        <v>31</v>
      </c>
      <c r="U47" s="55"/>
      <c r="W47" s="78"/>
    </row>
    <row r="48" spans="1:31" x14ac:dyDescent="0.25">
      <c r="A48" s="41">
        <v>45667</v>
      </c>
      <c r="B48" s="42" t="s">
        <v>19</v>
      </c>
      <c r="C48" s="116">
        <f>_xlfn.IFNA(_xlfn.IFNA(VLOOKUP(B48,Withd,2,FALSE),VLOOKUP(B48,income,2,FALSE)),"")</f>
        <v>-35</v>
      </c>
      <c r="E48" s="43">
        <f t="shared" si="2"/>
        <v>2</v>
      </c>
      <c r="F48" s="41">
        <f t="shared" ref="F48:F111" si="18">F47+1</f>
        <v>45635</v>
      </c>
      <c r="G48" s="44" t="str">
        <f t="shared" si="16"/>
        <v/>
      </c>
      <c r="H48" s="111">
        <f t="shared" si="17"/>
        <v>14287.679999999998</v>
      </c>
      <c r="I48" s="111"/>
      <c r="J48" s="124">
        <f>K48</f>
        <v>45697</v>
      </c>
      <c r="K48" s="63">
        <f t="shared" si="14"/>
        <v>45697</v>
      </c>
      <c r="L48" s="64">
        <f t="shared" si="8"/>
        <v>45698</v>
      </c>
      <c r="M48" s="65">
        <f t="shared" si="9"/>
        <v>45699</v>
      </c>
      <c r="N48" s="65">
        <f t="shared" si="10"/>
        <v>45700</v>
      </c>
      <c r="O48" s="65">
        <f t="shared" si="11"/>
        <v>45701</v>
      </c>
      <c r="P48" s="66">
        <f t="shared" si="12"/>
        <v>45702</v>
      </c>
      <c r="Q48" s="88">
        <f t="shared" si="13"/>
        <v>45703</v>
      </c>
      <c r="R48" s="123"/>
      <c r="S48" s="79"/>
      <c r="T48" s="80" t="s">
        <v>32</v>
      </c>
      <c r="U48" s="55"/>
      <c r="W48" s="78"/>
    </row>
    <row r="49" spans="1:27" ht="15.75" thickBot="1" x14ac:dyDescent="0.3">
      <c r="A49" s="41">
        <v>45667</v>
      </c>
      <c r="B49" s="51" t="s">
        <v>21</v>
      </c>
      <c r="C49" s="111">
        <f>_xlfn.IFNA(_xlfn.IFNA(VLOOKUP(B49,Withd,2,FALSE),VLOOKUP(B49,income,2,FALSE)),"")</f>
        <v>-11</v>
      </c>
      <c r="E49" s="43">
        <f t="shared" si="2"/>
        <v>3</v>
      </c>
      <c r="F49" s="41">
        <f t="shared" si="18"/>
        <v>45636</v>
      </c>
      <c r="G49" s="44" t="str">
        <f t="shared" si="16"/>
        <v>Water, Sewer, City, Amazon</v>
      </c>
      <c r="H49" s="111">
        <f t="shared" si="17"/>
        <v>14011.679999999998</v>
      </c>
      <c r="I49" s="111"/>
      <c r="J49" s="125">
        <f>K48</f>
        <v>45697</v>
      </c>
      <c r="K49" s="63">
        <f t="shared" si="14"/>
        <v>45704</v>
      </c>
      <c r="L49" s="64">
        <f t="shared" si="8"/>
        <v>45705</v>
      </c>
      <c r="M49" s="65">
        <f t="shared" si="9"/>
        <v>45706</v>
      </c>
      <c r="N49" s="65">
        <f t="shared" si="10"/>
        <v>45707</v>
      </c>
      <c r="O49" s="65">
        <f t="shared" si="11"/>
        <v>45708</v>
      </c>
      <c r="P49" s="66">
        <f t="shared" si="12"/>
        <v>45709</v>
      </c>
      <c r="Q49" s="89">
        <f t="shared" si="13"/>
        <v>45710</v>
      </c>
      <c r="R49" s="123"/>
      <c r="S49" s="79"/>
      <c r="T49" s="79"/>
      <c r="U49" s="55"/>
      <c r="W49" s="78"/>
    </row>
    <row r="50" spans="1:27" ht="15.75" thickBot="1" x14ac:dyDescent="0.3">
      <c r="A50" s="41">
        <v>45667</v>
      </c>
      <c r="B50" s="42" t="s">
        <v>35</v>
      </c>
      <c r="C50" s="111">
        <f>_xlfn.IFNA(_xlfn.IFNA(VLOOKUP(B50,Withd,2,FALSE),VLOOKUP(B50,income,2,FALSE)),"")</f>
        <v>-200</v>
      </c>
      <c r="E50" s="43">
        <f t="shared" si="2"/>
        <v>4</v>
      </c>
      <c r="F50" s="41">
        <f t="shared" si="18"/>
        <v>45637</v>
      </c>
      <c r="G50" s="44" t="str">
        <f t="shared" si="16"/>
        <v/>
      </c>
      <c r="H50" s="111">
        <f t="shared" si="17"/>
        <v>14011.679999999998</v>
      </c>
      <c r="I50" s="111"/>
      <c r="K50" s="71">
        <f t="shared" si="14"/>
        <v>45711</v>
      </c>
      <c r="L50" s="72">
        <f t="shared" si="8"/>
        <v>45712</v>
      </c>
      <c r="M50" s="68">
        <f t="shared" si="9"/>
        <v>45713</v>
      </c>
      <c r="N50" s="68">
        <f t="shared" si="10"/>
        <v>45714</v>
      </c>
      <c r="O50" s="68">
        <f t="shared" si="11"/>
        <v>45715</v>
      </c>
      <c r="P50" s="69">
        <f t="shared" si="12"/>
        <v>45716</v>
      </c>
      <c r="Q50" s="118">
        <f t="shared" si="13"/>
        <v>45717</v>
      </c>
      <c r="R50" s="123"/>
      <c r="S50" s="79"/>
      <c r="T50" s="79"/>
      <c r="U50" s="55" t="s">
        <v>12</v>
      </c>
      <c r="V50" s="33">
        <f>V40*4</f>
        <v>-680</v>
      </c>
      <c r="W50" s="78"/>
      <c r="X50" s="129">
        <f>V50/4</f>
        <v>-170</v>
      </c>
      <c r="Y50" s="129"/>
      <c r="Z50" s="129"/>
      <c r="AA50" s="81" t="s">
        <v>56</v>
      </c>
    </row>
    <row r="51" spans="1:27" ht="15.75" customHeight="1" x14ac:dyDescent="0.25">
      <c r="A51" s="50">
        <v>45667</v>
      </c>
      <c r="B51" s="67" t="s">
        <v>6</v>
      </c>
      <c r="C51" s="111">
        <f>_xlfn.IFNA(_xlfn.IFNA(VLOOKUP(B51,Withd,2,FALSE),VLOOKUP(B51,income,2,FALSE)),"")</f>
        <v>2912.56</v>
      </c>
      <c r="E51" s="43">
        <f t="shared" si="2"/>
        <v>5</v>
      </c>
      <c r="F51" s="41">
        <f t="shared" si="18"/>
        <v>45638</v>
      </c>
      <c r="G51" s="44" t="str">
        <f t="shared" si="16"/>
        <v>Car</v>
      </c>
      <c r="H51" s="111">
        <f t="shared" si="17"/>
        <v>13536.679999999998</v>
      </c>
      <c r="I51" s="111"/>
      <c r="K51" s="63">
        <f t="shared" si="14"/>
        <v>45718</v>
      </c>
      <c r="L51" s="64">
        <f t="shared" si="8"/>
        <v>45719</v>
      </c>
      <c r="M51" s="65">
        <f t="shared" si="9"/>
        <v>45720</v>
      </c>
      <c r="N51" s="65">
        <f t="shared" si="10"/>
        <v>45721</v>
      </c>
      <c r="O51" s="65">
        <f t="shared" si="11"/>
        <v>45722</v>
      </c>
      <c r="P51" s="66">
        <f t="shared" si="12"/>
        <v>45723</v>
      </c>
      <c r="Q51" s="88">
        <f t="shared" si="13"/>
        <v>45724</v>
      </c>
      <c r="R51" s="123"/>
      <c r="S51" s="79"/>
      <c r="T51" s="79"/>
      <c r="U51" s="55" t="s">
        <v>40</v>
      </c>
      <c r="V51" s="33">
        <v>-90</v>
      </c>
      <c r="W51" s="78"/>
    </row>
    <row r="52" spans="1:27" x14ac:dyDescent="0.25">
      <c r="A52" s="86">
        <v>45669</v>
      </c>
      <c r="B52" s="51" t="s">
        <v>5</v>
      </c>
      <c r="C52" s="111">
        <f>_xlfn.IFNA(_xlfn.IFNA(VLOOKUP(B52,Withd,2,FALSE),VLOOKUP(B52,income,2,FALSE)),"")</f>
        <v>-475</v>
      </c>
      <c r="E52" s="43">
        <f t="shared" si="2"/>
        <v>6</v>
      </c>
      <c r="F52" s="41">
        <f t="shared" si="18"/>
        <v>45639</v>
      </c>
      <c r="G52" s="44" t="str">
        <f t="shared" si="16"/>
        <v>Paypal, Paycheck</v>
      </c>
      <c r="H52" s="111">
        <f t="shared" si="17"/>
        <v>15519.239999999998</v>
      </c>
      <c r="I52" s="111"/>
      <c r="J52" s="124">
        <f>K52</f>
        <v>45725</v>
      </c>
      <c r="K52" s="63">
        <f t="shared" si="14"/>
        <v>45725</v>
      </c>
      <c r="L52" s="64">
        <f t="shared" si="8"/>
        <v>45726</v>
      </c>
      <c r="M52" s="65">
        <f t="shared" si="9"/>
        <v>45727</v>
      </c>
      <c r="N52" s="65">
        <f t="shared" si="10"/>
        <v>45728</v>
      </c>
      <c r="O52" s="65">
        <f t="shared" si="11"/>
        <v>45729</v>
      </c>
      <c r="P52" s="66">
        <f t="shared" si="12"/>
        <v>45730</v>
      </c>
      <c r="Q52" s="88">
        <f t="shared" si="13"/>
        <v>45731</v>
      </c>
      <c r="R52" s="123"/>
      <c r="S52" s="79"/>
      <c r="T52" s="79"/>
      <c r="U52" s="55" t="s">
        <v>41</v>
      </c>
      <c r="V52" s="33">
        <v>-15</v>
      </c>
      <c r="W52" s="78"/>
    </row>
    <row r="53" spans="1:27" x14ac:dyDescent="0.25">
      <c r="A53" s="41">
        <v>45670</v>
      </c>
      <c r="B53" s="42" t="s">
        <v>33</v>
      </c>
      <c r="C53" s="111">
        <f>_xlfn.IFNA(_xlfn.IFNA(VLOOKUP(B53,Withd,2,FALSE),VLOOKUP(B53,income,2,FALSE)),"")</f>
        <v>-930</v>
      </c>
      <c r="E53" s="43">
        <f t="shared" si="2"/>
        <v>7</v>
      </c>
      <c r="F53" s="41">
        <f t="shared" si="18"/>
        <v>45640</v>
      </c>
      <c r="G53" s="44" t="str">
        <f t="shared" si="16"/>
        <v>StateFarm</v>
      </c>
      <c r="H53" s="111">
        <f t="shared" si="17"/>
        <v>15414.239999999998</v>
      </c>
      <c r="I53" s="111"/>
      <c r="J53" s="125">
        <f>K52</f>
        <v>45725</v>
      </c>
      <c r="K53" s="63">
        <f t="shared" si="14"/>
        <v>45732</v>
      </c>
      <c r="L53" s="64">
        <f t="shared" si="8"/>
        <v>45733</v>
      </c>
      <c r="M53" s="65">
        <f t="shared" si="9"/>
        <v>45734</v>
      </c>
      <c r="N53" s="65">
        <f t="shared" si="10"/>
        <v>45735</v>
      </c>
      <c r="O53" s="65">
        <f t="shared" si="11"/>
        <v>45736</v>
      </c>
      <c r="P53" s="66">
        <f t="shared" si="12"/>
        <v>45737</v>
      </c>
      <c r="Q53" s="88">
        <f t="shared" si="13"/>
        <v>45738</v>
      </c>
      <c r="R53" s="123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45670</v>
      </c>
      <c r="B54" s="42" t="s">
        <v>8</v>
      </c>
      <c r="C54" s="111">
        <f>_xlfn.IFNA(_xlfn.IFNA(VLOOKUP(B54,Withd,2,FALSE),VLOOKUP(B54,income,2,FALSE)),"")</f>
        <v>-110</v>
      </c>
      <c r="E54" s="43">
        <f t="shared" si="2"/>
        <v>1</v>
      </c>
      <c r="F54" s="41">
        <f t="shared" si="18"/>
        <v>45641</v>
      </c>
      <c r="G54" s="44" t="str">
        <f t="shared" si="16"/>
        <v>NWM/IRA</v>
      </c>
      <c r="H54" s="111">
        <f t="shared" si="17"/>
        <v>14474.239999999998</v>
      </c>
      <c r="I54" s="111"/>
      <c r="K54" s="63">
        <f t="shared" si="14"/>
        <v>45739</v>
      </c>
      <c r="L54" s="64">
        <f t="shared" si="8"/>
        <v>45740</v>
      </c>
      <c r="M54" s="68">
        <f t="shared" si="9"/>
        <v>45741</v>
      </c>
      <c r="N54" s="68">
        <f t="shared" si="10"/>
        <v>45742</v>
      </c>
      <c r="O54" s="68">
        <f t="shared" si="11"/>
        <v>45743</v>
      </c>
      <c r="P54" s="69">
        <f t="shared" si="12"/>
        <v>45744</v>
      </c>
      <c r="Q54" s="89">
        <f t="shared" si="13"/>
        <v>45745</v>
      </c>
      <c r="R54" s="123"/>
      <c r="S54" s="79"/>
      <c r="T54" s="79"/>
      <c r="U54" s="55" t="s">
        <v>42</v>
      </c>
      <c r="V54" s="33">
        <v>-20</v>
      </c>
      <c r="W54" s="78"/>
    </row>
    <row r="55" spans="1:27" ht="15.75" customHeight="1" thickBot="1" x14ac:dyDescent="0.3">
      <c r="A55" s="41">
        <v>45671</v>
      </c>
      <c r="B55" s="42" t="s">
        <v>34</v>
      </c>
      <c r="C55" s="111">
        <f>_xlfn.IFNA(_xlfn.IFNA(VLOOKUP(B55,Withd,2,FALSE),VLOOKUP(B55,income,2,FALSE)),"")</f>
        <v>-105</v>
      </c>
      <c r="E55" s="43">
        <f t="shared" si="2"/>
        <v>2</v>
      </c>
      <c r="F55" s="41">
        <f t="shared" si="18"/>
        <v>45642</v>
      </c>
      <c r="G55" s="44" t="str">
        <f t="shared" si="16"/>
        <v>Fuel, Clean</v>
      </c>
      <c r="H55" s="111">
        <f t="shared" si="17"/>
        <v>14304.239999999998</v>
      </c>
      <c r="I55" s="111"/>
      <c r="K55" s="71">
        <f t="shared" si="14"/>
        <v>45746</v>
      </c>
      <c r="L55" s="72">
        <f t="shared" si="8"/>
        <v>45747</v>
      </c>
      <c r="M55" s="58">
        <f t="shared" si="9"/>
        <v>45748</v>
      </c>
      <c r="N55" s="65">
        <f t="shared" si="10"/>
        <v>45749</v>
      </c>
      <c r="O55" s="65">
        <f t="shared" si="11"/>
        <v>45750</v>
      </c>
      <c r="P55" s="66">
        <f t="shared" si="12"/>
        <v>45751</v>
      </c>
      <c r="Q55" s="88">
        <f t="shared" si="13"/>
        <v>45752</v>
      </c>
      <c r="R55" s="123"/>
      <c r="S55" s="79"/>
      <c r="T55" s="79"/>
      <c r="U55" s="55" t="s">
        <v>43</v>
      </c>
      <c r="V55" s="33">
        <v>-15</v>
      </c>
      <c r="W55" s="78"/>
    </row>
    <row r="56" spans="1:27" x14ac:dyDescent="0.25">
      <c r="A56" s="50">
        <v>45672</v>
      </c>
      <c r="B56" s="48" t="s">
        <v>46</v>
      </c>
      <c r="C56" s="111">
        <f>_xlfn.IFNA(_xlfn.IFNA(VLOOKUP(B56,Withd,2,FALSE),VLOOKUP(B56,income,2,FALSE)),"")</f>
        <v>-940</v>
      </c>
      <c r="E56" s="43">
        <f t="shared" si="2"/>
        <v>3</v>
      </c>
      <c r="F56" s="41">
        <f t="shared" si="18"/>
        <v>45643</v>
      </c>
      <c r="G56" s="44" t="str">
        <f t="shared" si="16"/>
        <v/>
      </c>
      <c r="H56" s="111">
        <f t="shared" si="17"/>
        <v>14304.239999999998</v>
      </c>
      <c r="I56" s="111"/>
      <c r="J56" s="124">
        <f>K56</f>
        <v>45753</v>
      </c>
      <c r="K56" s="63">
        <f>Q55+1</f>
        <v>45753</v>
      </c>
      <c r="L56" s="64">
        <f t="shared" ref="L56:L67" si="19">K56+1</f>
        <v>45754</v>
      </c>
      <c r="M56" s="65">
        <f t="shared" ref="M56:M67" si="20">L56+1</f>
        <v>45755</v>
      </c>
      <c r="N56" s="65">
        <f t="shared" ref="N56:N67" si="21">M56+1</f>
        <v>45756</v>
      </c>
      <c r="O56" s="65">
        <f t="shared" ref="O56:O67" si="22">N56+1</f>
        <v>45757</v>
      </c>
      <c r="P56" s="65">
        <f t="shared" ref="P56:P67" si="23">O56+1</f>
        <v>45758</v>
      </c>
      <c r="Q56" s="88">
        <f t="shared" ref="Q56:Q67" si="24">P56+1</f>
        <v>45759</v>
      </c>
      <c r="R56" s="123"/>
      <c r="S56" s="79"/>
      <c r="T56" s="79"/>
      <c r="U56" s="55" t="s">
        <v>44</v>
      </c>
      <c r="V56" s="33">
        <v>-100</v>
      </c>
      <c r="W56" s="78"/>
    </row>
    <row r="57" spans="1:27" x14ac:dyDescent="0.25">
      <c r="A57" s="41">
        <v>45677</v>
      </c>
      <c r="B57" s="42" t="s">
        <v>20</v>
      </c>
      <c r="C57" s="111">
        <f>_xlfn.IFNA(_xlfn.IFNA(VLOOKUP(B57,Withd,2,FALSE),VLOOKUP(B57,income,2,FALSE)),"")</f>
        <v>-60</v>
      </c>
      <c r="E57" s="43">
        <f t="shared" si="2"/>
        <v>4</v>
      </c>
      <c r="F57" s="41">
        <f t="shared" si="18"/>
        <v>45644</v>
      </c>
      <c r="G57" s="44" t="str">
        <f t="shared" si="16"/>
        <v/>
      </c>
      <c r="H57" s="111">
        <f t="shared" si="17"/>
        <v>14304.239999999998</v>
      </c>
      <c r="I57" s="111"/>
      <c r="J57" s="125">
        <f>K56</f>
        <v>45753</v>
      </c>
      <c r="K57" s="63">
        <f t="shared" ref="K57:K67" si="25">Q56+1</f>
        <v>45760</v>
      </c>
      <c r="L57" s="64">
        <f t="shared" si="19"/>
        <v>45761</v>
      </c>
      <c r="M57" s="65">
        <f t="shared" si="20"/>
        <v>45762</v>
      </c>
      <c r="N57" s="65">
        <f t="shared" si="21"/>
        <v>45763</v>
      </c>
      <c r="O57" s="65">
        <f t="shared" si="22"/>
        <v>45764</v>
      </c>
      <c r="P57" s="66">
        <f t="shared" si="23"/>
        <v>45765</v>
      </c>
      <c r="Q57" s="88">
        <f t="shared" si="24"/>
        <v>45766</v>
      </c>
      <c r="R57" s="123"/>
      <c r="S57" s="79"/>
      <c r="T57" s="79"/>
      <c r="U57" s="55"/>
      <c r="W57" s="78"/>
    </row>
    <row r="58" spans="1:27" ht="15.75" thickBot="1" x14ac:dyDescent="0.3">
      <c r="A58" s="41">
        <v>45677</v>
      </c>
      <c r="B58" s="42" t="s">
        <v>11</v>
      </c>
      <c r="C58" s="111">
        <f>_xlfn.IFNA(_xlfn.IFNA(VLOOKUP(B58,Withd,2,FALSE),VLOOKUP(B58,income,2,FALSE)),"")</f>
        <v>-300</v>
      </c>
      <c r="E58" s="43">
        <f t="shared" si="2"/>
        <v>5</v>
      </c>
      <c r="F58" s="41">
        <f t="shared" si="18"/>
        <v>45645</v>
      </c>
      <c r="G58" s="44" t="str">
        <f t="shared" si="16"/>
        <v/>
      </c>
      <c r="H58" s="111">
        <f t="shared" si="17"/>
        <v>14304.239999999998</v>
      </c>
      <c r="I58" s="111"/>
      <c r="K58" s="63">
        <f t="shared" si="25"/>
        <v>45767</v>
      </c>
      <c r="L58" s="65">
        <f t="shared" si="19"/>
        <v>45768</v>
      </c>
      <c r="M58" s="65">
        <f t="shared" si="20"/>
        <v>45769</v>
      </c>
      <c r="N58" s="65">
        <f t="shared" si="21"/>
        <v>45770</v>
      </c>
      <c r="O58" s="68">
        <f t="shared" si="22"/>
        <v>45771</v>
      </c>
      <c r="P58" s="68">
        <f t="shared" si="23"/>
        <v>45772</v>
      </c>
      <c r="Q58" s="89">
        <f t="shared" si="24"/>
        <v>45773</v>
      </c>
      <c r="R58" s="123"/>
      <c r="S58" s="79"/>
      <c r="T58" s="79"/>
      <c r="U58" s="55"/>
      <c r="W58" s="78"/>
    </row>
    <row r="59" spans="1:27" ht="15.75" thickBot="1" x14ac:dyDescent="0.3">
      <c r="A59" s="41">
        <v>45679</v>
      </c>
      <c r="B59" s="48" t="s">
        <v>7</v>
      </c>
      <c r="C59" s="111">
        <f>_xlfn.IFNA(_xlfn.IFNA(VLOOKUP(B59,Withd,2,FALSE),VLOOKUP(B59,income,2,FALSE)),"")</f>
        <v>1227</v>
      </c>
      <c r="E59" s="43">
        <f t="shared" si="2"/>
        <v>6</v>
      </c>
      <c r="F59" s="41">
        <f t="shared" si="18"/>
        <v>45646</v>
      </c>
      <c r="G59" s="44" t="str">
        <f t="shared" si="16"/>
        <v>AMEX</v>
      </c>
      <c r="H59" s="111">
        <f t="shared" si="17"/>
        <v>14004.239999999998</v>
      </c>
      <c r="I59" s="111"/>
      <c r="K59" s="71">
        <f t="shared" si="25"/>
        <v>45774</v>
      </c>
      <c r="L59" s="72">
        <f t="shared" si="19"/>
        <v>45775</v>
      </c>
      <c r="M59" s="68">
        <f t="shared" si="20"/>
        <v>45776</v>
      </c>
      <c r="N59" s="69">
        <f t="shared" si="21"/>
        <v>45777</v>
      </c>
      <c r="O59" s="58">
        <f t="shared" si="22"/>
        <v>45778</v>
      </c>
      <c r="P59" s="66">
        <f t="shared" si="23"/>
        <v>45779</v>
      </c>
      <c r="Q59" s="88">
        <f t="shared" si="24"/>
        <v>45780</v>
      </c>
      <c r="R59" s="123"/>
      <c r="S59" s="79"/>
      <c r="T59" s="79"/>
      <c r="U59" s="55"/>
      <c r="W59" s="78"/>
    </row>
    <row r="60" spans="1:27" x14ac:dyDescent="0.25">
      <c r="A60" s="50">
        <v>45681</v>
      </c>
      <c r="B60" s="48" t="s">
        <v>6</v>
      </c>
      <c r="C60" s="111">
        <f>_xlfn.IFNA(_xlfn.IFNA(VLOOKUP(B60,Withd,2,FALSE),VLOOKUP(B60,income,2,FALSE)),"")</f>
        <v>2912.56</v>
      </c>
      <c r="E60" s="43">
        <f t="shared" si="2"/>
        <v>7</v>
      </c>
      <c r="F60" s="41">
        <f t="shared" si="18"/>
        <v>45647</v>
      </c>
      <c r="G60" s="44" t="str">
        <f t="shared" si="16"/>
        <v/>
      </c>
      <c r="H60" s="111">
        <f t="shared" si="17"/>
        <v>14004.239999999998</v>
      </c>
      <c r="I60" s="111"/>
      <c r="J60" s="84"/>
      <c r="K60" s="63">
        <f t="shared" si="25"/>
        <v>45781</v>
      </c>
      <c r="L60" s="65">
        <f t="shared" si="19"/>
        <v>45782</v>
      </c>
      <c r="M60" s="65">
        <f t="shared" si="20"/>
        <v>45783</v>
      </c>
      <c r="N60" s="65">
        <f t="shared" si="21"/>
        <v>45784</v>
      </c>
      <c r="O60" s="65">
        <f t="shared" si="22"/>
        <v>45785</v>
      </c>
      <c r="P60" s="65">
        <f t="shared" si="23"/>
        <v>45786</v>
      </c>
      <c r="Q60" s="88">
        <f t="shared" si="24"/>
        <v>45787</v>
      </c>
      <c r="R60" s="123"/>
      <c r="S60" s="79"/>
      <c r="T60" s="79"/>
      <c r="U60" s="55"/>
      <c r="W60" s="78"/>
    </row>
    <row r="61" spans="1:27" x14ac:dyDescent="0.25">
      <c r="A61" s="41">
        <v>45684</v>
      </c>
      <c r="B61" s="42" t="s">
        <v>8</v>
      </c>
      <c r="C61" s="111">
        <f>_xlfn.IFNA(_xlfn.IFNA(VLOOKUP(B61,Withd,2,FALSE),VLOOKUP(B61,income,2,FALSE)),"")</f>
        <v>-110</v>
      </c>
      <c r="E61" s="43">
        <f t="shared" si="2"/>
        <v>1</v>
      </c>
      <c r="F61" s="41">
        <f t="shared" si="18"/>
        <v>45648</v>
      </c>
      <c r="G61" s="44" t="str">
        <f t="shared" si="16"/>
        <v/>
      </c>
      <c r="H61" s="111">
        <f t="shared" si="17"/>
        <v>14004.239999999998</v>
      </c>
      <c r="I61" s="111"/>
      <c r="J61" s="124">
        <f>K61</f>
        <v>45788</v>
      </c>
      <c r="K61" s="63">
        <f t="shared" si="25"/>
        <v>45788</v>
      </c>
      <c r="L61" s="64">
        <f t="shared" si="19"/>
        <v>45789</v>
      </c>
      <c r="M61" s="65">
        <f t="shared" si="20"/>
        <v>45790</v>
      </c>
      <c r="N61" s="65">
        <f t="shared" si="21"/>
        <v>45791</v>
      </c>
      <c r="O61" s="65">
        <f t="shared" si="22"/>
        <v>45792</v>
      </c>
      <c r="P61" s="66">
        <f t="shared" si="23"/>
        <v>45793</v>
      </c>
      <c r="Q61" s="88">
        <f t="shared" si="24"/>
        <v>45794</v>
      </c>
      <c r="R61" s="123"/>
    </row>
    <row r="62" spans="1:27" x14ac:dyDescent="0.25">
      <c r="A62" s="41">
        <v>45685</v>
      </c>
      <c r="B62" s="48" t="s">
        <v>23</v>
      </c>
      <c r="C62" s="111">
        <f>_xlfn.IFNA(_xlfn.IFNA(VLOOKUP(B62,Withd,2,FALSE),VLOOKUP(B62,income,2,FALSE)),"")</f>
        <v>-65</v>
      </c>
      <c r="E62" s="43">
        <f t="shared" si="2"/>
        <v>2</v>
      </c>
      <c r="F62" s="41">
        <f t="shared" si="18"/>
        <v>45649</v>
      </c>
      <c r="G62" s="44" t="str">
        <f t="shared" si="16"/>
        <v/>
      </c>
      <c r="H62" s="111">
        <f t="shared" si="17"/>
        <v>14004.239999999998</v>
      </c>
      <c r="I62" s="111"/>
      <c r="J62" s="125">
        <f>K61</f>
        <v>45788</v>
      </c>
      <c r="K62" s="63">
        <f t="shared" si="25"/>
        <v>45795</v>
      </c>
      <c r="L62" s="65">
        <f t="shared" si="19"/>
        <v>45796</v>
      </c>
      <c r="M62" s="65">
        <f t="shared" si="20"/>
        <v>45797</v>
      </c>
      <c r="N62" s="65">
        <f t="shared" si="21"/>
        <v>45798</v>
      </c>
      <c r="O62" s="65">
        <f t="shared" si="22"/>
        <v>45799</v>
      </c>
      <c r="P62" s="65">
        <f t="shared" si="23"/>
        <v>45800</v>
      </c>
      <c r="Q62" s="88">
        <f t="shared" si="24"/>
        <v>45801</v>
      </c>
      <c r="R62" s="123"/>
    </row>
    <row r="63" spans="1:27" ht="15.75" thickBot="1" x14ac:dyDescent="0.3">
      <c r="A63" s="50">
        <v>45685</v>
      </c>
      <c r="B63" s="51" t="s">
        <v>22</v>
      </c>
      <c r="C63" s="111">
        <f>_xlfn.IFNA(_xlfn.IFNA(VLOOKUP(B63,Withd,2,FALSE),VLOOKUP(B63,income,2,FALSE)),"")</f>
        <v>-75</v>
      </c>
      <c r="E63" s="43">
        <f t="shared" si="2"/>
        <v>3</v>
      </c>
      <c r="F63" s="41">
        <f t="shared" si="18"/>
        <v>45650</v>
      </c>
      <c r="G63" s="44" t="str">
        <f t="shared" si="16"/>
        <v/>
      </c>
      <c r="H63" s="111">
        <f t="shared" si="17"/>
        <v>14004.239999999998</v>
      </c>
      <c r="I63" s="111"/>
      <c r="K63" s="71">
        <f t="shared" si="25"/>
        <v>45802</v>
      </c>
      <c r="L63" s="72">
        <f t="shared" si="19"/>
        <v>45803</v>
      </c>
      <c r="M63" s="68">
        <f t="shared" si="20"/>
        <v>45804</v>
      </c>
      <c r="N63" s="69">
        <f t="shared" si="21"/>
        <v>45805</v>
      </c>
      <c r="O63" s="68">
        <f t="shared" si="22"/>
        <v>45806</v>
      </c>
      <c r="P63" s="69">
        <f t="shared" si="23"/>
        <v>45807</v>
      </c>
      <c r="Q63" s="89">
        <f t="shared" si="24"/>
        <v>45808</v>
      </c>
      <c r="R63" s="123"/>
      <c r="U63" s="85"/>
    </row>
    <row r="64" spans="1:27" ht="15.75" customHeight="1" x14ac:dyDescent="0.25">
      <c r="A64" s="41">
        <v>45689</v>
      </c>
      <c r="B64" s="42" t="s">
        <v>4</v>
      </c>
      <c r="C64" s="111">
        <f>_xlfn.IFNA(_xlfn.IFNA(VLOOKUP(B64,Withd,2,FALSE),VLOOKUP(B64,income,2,FALSE)),"")</f>
        <v>-1050</v>
      </c>
      <c r="E64" s="43">
        <f t="shared" si="2"/>
        <v>4</v>
      </c>
      <c r="F64" s="41">
        <f t="shared" si="18"/>
        <v>45651</v>
      </c>
      <c r="G64" s="44" t="str">
        <f t="shared" si="16"/>
        <v>IIS</v>
      </c>
      <c r="H64" s="111">
        <f t="shared" si="17"/>
        <v>15231.239999999998</v>
      </c>
      <c r="I64" s="111"/>
      <c r="K64" s="63">
        <f t="shared" si="25"/>
        <v>45809</v>
      </c>
      <c r="L64" s="82">
        <f t="shared" si="19"/>
        <v>45810</v>
      </c>
      <c r="M64" s="82">
        <f t="shared" si="20"/>
        <v>45811</v>
      </c>
      <c r="N64" s="82">
        <f t="shared" si="21"/>
        <v>45812</v>
      </c>
      <c r="O64" s="65">
        <f t="shared" si="22"/>
        <v>45813</v>
      </c>
      <c r="P64" s="65">
        <f t="shared" si="23"/>
        <v>45814</v>
      </c>
      <c r="Q64" s="88">
        <f t="shared" si="24"/>
        <v>45815</v>
      </c>
      <c r="R64" s="123"/>
      <c r="U64" s="85"/>
    </row>
    <row r="65" spans="1:21" ht="15.75" customHeight="1" x14ac:dyDescent="0.25">
      <c r="A65" s="50">
        <v>45695</v>
      </c>
      <c r="B65" s="51" t="s">
        <v>9</v>
      </c>
      <c r="C65" s="111">
        <f>_xlfn.IFNA(_xlfn.IFNA(VLOOKUP(B65,Withd,2,FALSE),VLOOKUP(B65,income,2,FALSE)),"")</f>
        <v>-270</v>
      </c>
      <c r="E65" s="43">
        <f t="shared" si="2"/>
        <v>5</v>
      </c>
      <c r="F65" s="41">
        <f t="shared" si="18"/>
        <v>45652</v>
      </c>
      <c r="G65" s="44" t="str">
        <f t="shared" si="16"/>
        <v/>
      </c>
      <c r="H65" s="111">
        <f t="shared" si="17"/>
        <v>15231.239999999998</v>
      </c>
      <c r="I65" s="111"/>
      <c r="J65" s="124">
        <f>K65</f>
        <v>45816</v>
      </c>
      <c r="K65" s="63">
        <f t="shared" si="25"/>
        <v>45816</v>
      </c>
      <c r="L65" s="64">
        <f t="shared" si="19"/>
        <v>45817</v>
      </c>
      <c r="M65" s="65">
        <f t="shared" si="20"/>
        <v>45818</v>
      </c>
      <c r="N65" s="65">
        <f t="shared" si="21"/>
        <v>45819</v>
      </c>
      <c r="O65" s="65">
        <f t="shared" si="22"/>
        <v>45820</v>
      </c>
      <c r="P65" s="66">
        <f t="shared" si="23"/>
        <v>45821</v>
      </c>
      <c r="Q65" s="88">
        <f t="shared" si="24"/>
        <v>45822</v>
      </c>
      <c r="R65" s="123"/>
      <c r="U65" s="82"/>
    </row>
    <row r="66" spans="1:21" ht="15" customHeight="1" x14ac:dyDescent="0.25">
      <c r="A66" s="50">
        <v>45695</v>
      </c>
      <c r="B66" s="67" t="s">
        <v>6</v>
      </c>
      <c r="C66" s="111">
        <f>_xlfn.IFNA(_xlfn.IFNA(VLOOKUP(B66,Withd,2,FALSE),VLOOKUP(B66,income,2,FALSE)),"")</f>
        <v>2912.56</v>
      </c>
      <c r="E66" s="43">
        <f t="shared" si="2"/>
        <v>6</v>
      </c>
      <c r="F66" s="41">
        <f t="shared" si="18"/>
        <v>45653</v>
      </c>
      <c r="G66" s="44" t="str">
        <f t="shared" si="16"/>
        <v>Paycheck</v>
      </c>
      <c r="H66" s="111">
        <f t="shared" si="17"/>
        <v>18143.8</v>
      </c>
      <c r="I66" s="111"/>
      <c r="J66" s="125">
        <f>K65</f>
        <v>45816</v>
      </c>
      <c r="K66" s="63">
        <f t="shared" si="25"/>
        <v>45823</v>
      </c>
      <c r="L66" s="65">
        <f t="shared" si="19"/>
        <v>45824</v>
      </c>
      <c r="M66" s="65">
        <f t="shared" si="20"/>
        <v>45825</v>
      </c>
      <c r="N66" s="65">
        <f t="shared" si="21"/>
        <v>45826</v>
      </c>
      <c r="O66" s="65">
        <f t="shared" si="22"/>
        <v>45827</v>
      </c>
      <c r="P66" s="65">
        <f t="shared" si="23"/>
        <v>45828</v>
      </c>
      <c r="Q66" s="88">
        <f t="shared" si="24"/>
        <v>45829</v>
      </c>
      <c r="R66" s="123"/>
    </row>
    <row r="67" spans="1:21" ht="15.75" thickBot="1" x14ac:dyDescent="0.3">
      <c r="A67" s="41">
        <v>45698</v>
      </c>
      <c r="B67" s="42" t="s">
        <v>18</v>
      </c>
      <c r="C67" s="111">
        <f>_xlfn.IFNA(_xlfn.IFNA(VLOOKUP(B67,Withd,2,FALSE),VLOOKUP(B67,income,2,FALSE)),"")</f>
        <v>-30</v>
      </c>
      <c r="E67" s="43">
        <f t="shared" si="2"/>
        <v>7</v>
      </c>
      <c r="F67" s="41">
        <f t="shared" si="18"/>
        <v>45654</v>
      </c>
      <c r="G67" s="44" t="str">
        <f t="shared" si="16"/>
        <v>Gas, Power</v>
      </c>
      <c r="H67" s="111">
        <f t="shared" si="17"/>
        <v>18003.8</v>
      </c>
      <c r="I67" s="111"/>
      <c r="K67" s="63">
        <f t="shared" si="25"/>
        <v>45830</v>
      </c>
      <c r="L67" s="64">
        <f t="shared" si="19"/>
        <v>45831</v>
      </c>
      <c r="M67" s="68">
        <f t="shared" si="20"/>
        <v>45832</v>
      </c>
      <c r="N67" s="69">
        <f t="shared" si="21"/>
        <v>45833</v>
      </c>
      <c r="O67" s="68">
        <f t="shared" si="22"/>
        <v>45834</v>
      </c>
      <c r="P67" s="69">
        <f t="shared" si="23"/>
        <v>45835</v>
      </c>
      <c r="Q67" s="89">
        <f t="shared" si="24"/>
        <v>45836</v>
      </c>
      <c r="R67" s="123"/>
    </row>
    <row r="68" spans="1:21" ht="15.75" thickBot="1" x14ac:dyDescent="0.3">
      <c r="A68" s="41">
        <v>45698</v>
      </c>
      <c r="B68" s="42" t="s">
        <v>19</v>
      </c>
      <c r="C68" s="111">
        <f>_xlfn.IFNA(_xlfn.IFNA(VLOOKUP(B68,Withd,2,FALSE),VLOOKUP(B68,income,2,FALSE)),"")</f>
        <v>-35</v>
      </c>
      <c r="E68" s="43">
        <f t="shared" si="2"/>
        <v>1</v>
      </c>
      <c r="F68" s="41">
        <f t="shared" si="18"/>
        <v>45655</v>
      </c>
      <c r="G68" s="44" t="str">
        <f t="shared" si="16"/>
        <v/>
      </c>
      <c r="H68" s="111">
        <f t="shared" ref="H68:H99" si="26">H67+SUMIF(Dates,F68,TAMTS)</f>
        <v>18003.8</v>
      </c>
      <c r="I68" s="111"/>
      <c r="K68" s="71">
        <f t="shared" ref="K68" si="27">Q67+1</f>
        <v>45837</v>
      </c>
      <c r="L68" s="68">
        <f t="shared" ref="L68:M68" si="28">K68+1</f>
        <v>45838</v>
      </c>
      <c r="M68" s="58">
        <f t="shared" si="28"/>
        <v>45839</v>
      </c>
      <c r="N68" s="65">
        <f t="shared" ref="N68:Q68" si="29">M68+1</f>
        <v>45840</v>
      </c>
      <c r="O68" s="126">
        <f t="shared" si="29"/>
        <v>45841</v>
      </c>
      <c r="P68" s="126">
        <f t="shared" si="29"/>
        <v>45842</v>
      </c>
      <c r="Q68" s="127">
        <f t="shared" si="29"/>
        <v>45843</v>
      </c>
      <c r="R68" s="123"/>
    </row>
    <row r="69" spans="1:21" x14ac:dyDescent="0.25">
      <c r="A69" s="50">
        <v>45698</v>
      </c>
      <c r="B69" s="51" t="s">
        <v>21</v>
      </c>
      <c r="C69" s="111">
        <f>_xlfn.IFNA(_xlfn.IFNA(VLOOKUP(B69,Withd,2,FALSE),VLOOKUP(B69,income,2,FALSE)),"")</f>
        <v>-11</v>
      </c>
      <c r="E69" s="43">
        <f t="shared" ref="E69:E132" si="30">WEEKDAY(F69)</f>
        <v>2</v>
      </c>
      <c r="F69" s="41">
        <f t="shared" si="18"/>
        <v>45656</v>
      </c>
      <c r="G69" s="44" t="str">
        <f t="shared" ref="G69:G83" si="31">LookUpConcat(F69,Dates,TDesc,", ")</f>
        <v>Clean</v>
      </c>
      <c r="H69" s="111">
        <f t="shared" si="26"/>
        <v>17893.8</v>
      </c>
      <c r="I69" s="111"/>
      <c r="J69" s="124">
        <f>K69</f>
        <v>45844</v>
      </c>
      <c r="K69" s="63">
        <f t="shared" ref="K69:K77" si="32">Q68+1</f>
        <v>45844</v>
      </c>
      <c r="L69" s="64">
        <f t="shared" ref="L69:L77" si="33">K69+1</f>
        <v>45845</v>
      </c>
      <c r="M69" s="65">
        <f t="shared" ref="M69:M77" si="34">L69+1</f>
        <v>45846</v>
      </c>
      <c r="N69" s="65">
        <f t="shared" ref="N69:N77" si="35">M69+1</f>
        <v>45847</v>
      </c>
      <c r="O69" s="65">
        <f t="shared" ref="O69:O77" si="36">N69+1</f>
        <v>45848</v>
      </c>
      <c r="P69" s="66">
        <f t="shared" ref="P69:P77" si="37">O69+1</f>
        <v>45849</v>
      </c>
      <c r="Q69" s="88">
        <f t="shared" ref="Q69:Q77" si="38">P69+1</f>
        <v>45850</v>
      </c>
      <c r="R69" s="123"/>
    </row>
    <row r="70" spans="1:21" x14ac:dyDescent="0.25">
      <c r="A70" s="50">
        <v>45698</v>
      </c>
      <c r="B70" s="42" t="s">
        <v>35</v>
      </c>
      <c r="C70" s="111">
        <f>_xlfn.IFNA(_xlfn.IFNA(VLOOKUP(B70,Withd,2,FALSE),VLOOKUP(B70,income,2,FALSE)),"")</f>
        <v>-200</v>
      </c>
      <c r="E70" s="43">
        <f t="shared" si="30"/>
        <v>3</v>
      </c>
      <c r="F70" s="41">
        <f t="shared" si="18"/>
        <v>45657</v>
      </c>
      <c r="G70" s="44" t="str">
        <f t="shared" si="31"/>
        <v/>
      </c>
      <c r="H70" s="111">
        <f t="shared" si="26"/>
        <v>17893.8</v>
      </c>
      <c r="I70" s="111"/>
      <c r="J70" s="125">
        <f>K69</f>
        <v>45844</v>
      </c>
      <c r="K70" s="63">
        <f t="shared" si="32"/>
        <v>45851</v>
      </c>
      <c r="L70" s="65">
        <f t="shared" si="33"/>
        <v>45852</v>
      </c>
      <c r="M70" s="65">
        <f t="shared" si="34"/>
        <v>45853</v>
      </c>
      <c r="N70" s="65">
        <f t="shared" si="35"/>
        <v>45854</v>
      </c>
      <c r="O70" s="65">
        <f t="shared" si="36"/>
        <v>45855</v>
      </c>
      <c r="P70" s="65">
        <f t="shared" si="37"/>
        <v>45856</v>
      </c>
      <c r="Q70" s="88">
        <f t="shared" si="38"/>
        <v>45857</v>
      </c>
      <c r="R70" s="123"/>
    </row>
    <row r="71" spans="1:21" ht="15.75" thickBot="1" x14ac:dyDescent="0.3">
      <c r="A71" s="41">
        <v>45698</v>
      </c>
      <c r="B71" s="48" t="s">
        <v>8</v>
      </c>
      <c r="C71" s="111">
        <f>_xlfn.IFNA(_xlfn.IFNA(VLOOKUP(B71,Withd,2,FALSE),VLOOKUP(B71,income,2,FALSE)),"")</f>
        <v>-110</v>
      </c>
      <c r="E71" s="43">
        <f t="shared" si="30"/>
        <v>4</v>
      </c>
      <c r="F71" s="41">
        <f t="shared" si="18"/>
        <v>45658</v>
      </c>
      <c r="G71" s="44" t="str">
        <f t="shared" si="31"/>
        <v>Rent</v>
      </c>
      <c r="H71" s="111">
        <f t="shared" si="26"/>
        <v>16843.8</v>
      </c>
      <c r="I71" s="111"/>
      <c r="K71" s="63">
        <f t="shared" si="32"/>
        <v>45858</v>
      </c>
      <c r="L71" s="64">
        <f t="shared" si="33"/>
        <v>45859</v>
      </c>
      <c r="M71" s="65">
        <f t="shared" si="34"/>
        <v>45860</v>
      </c>
      <c r="N71" s="65">
        <f t="shared" si="35"/>
        <v>45861</v>
      </c>
      <c r="O71" s="65">
        <f t="shared" si="36"/>
        <v>45862</v>
      </c>
      <c r="P71" s="69">
        <f t="shared" si="37"/>
        <v>45863</v>
      </c>
      <c r="Q71" s="89">
        <f t="shared" si="38"/>
        <v>45864</v>
      </c>
      <c r="R71" s="123"/>
    </row>
    <row r="72" spans="1:21" ht="15.75" thickBot="1" x14ac:dyDescent="0.3">
      <c r="A72" s="41">
        <v>45700</v>
      </c>
      <c r="B72" s="51" t="s">
        <v>5</v>
      </c>
      <c r="C72" s="111">
        <f>_xlfn.IFNA(_xlfn.IFNA(VLOOKUP(B72,Withd,2,FALSE),VLOOKUP(B72,income,2,FALSE)),"")</f>
        <v>-475</v>
      </c>
      <c r="E72" s="43">
        <f t="shared" si="30"/>
        <v>5</v>
      </c>
      <c r="F72" s="41">
        <f t="shared" si="18"/>
        <v>45659</v>
      </c>
      <c r="G72" s="44" t="str">
        <f t="shared" si="31"/>
        <v/>
      </c>
      <c r="H72" s="111">
        <f t="shared" si="26"/>
        <v>16843.8</v>
      </c>
      <c r="I72" s="111"/>
      <c r="K72" s="71">
        <f t="shared" si="32"/>
        <v>45865</v>
      </c>
      <c r="L72" s="68">
        <f t="shared" si="33"/>
        <v>45866</v>
      </c>
      <c r="M72" s="68">
        <f t="shared" si="34"/>
        <v>45867</v>
      </c>
      <c r="N72" s="69">
        <f t="shared" si="35"/>
        <v>45868</v>
      </c>
      <c r="O72" s="68">
        <f t="shared" si="36"/>
        <v>45869</v>
      </c>
      <c r="P72" s="58">
        <f t="shared" si="37"/>
        <v>45870</v>
      </c>
      <c r="Q72" s="128">
        <f t="shared" si="38"/>
        <v>45871</v>
      </c>
      <c r="R72" s="123"/>
    </row>
    <row r="73" spans="1:21" x14ac:dyDescent="0.25">
      <c r="A73" s="50">
        <v>45701</v>
      </c>
      <c r="B73" s="51" t="s">
        <v>33</v>
      </c>
      <c r="C73" s="111">
        <f>_xlfn.IFNA(_xlfn.IFNA(VLOOKUP(B73,Withd,2,FALSE),VLOOKUP(B73,income,2,FALSE)),"")</f>
        <v>-930</v>
      </c>
      <c r="E73" s="43">
        <f t="shared" si="30"/>
        <v>6</v>
      </c>
      <c r="F73" s="41">
        <f t="shared" si="18"/>
        <v>45660</v>
      </c>
      <c r="G73" s="44" t="str">
        <f t="shared" si="31"/>
        <v/>
      </c>
      <c r="H73" s="111">
        <f t="shared" si="26"/>
        <v>16843.8</v>
      </c>
      <c r="I73" s="111"/>
      <c r="J73" s="84"/>
      <c r="K73" s="63">
        <f t="shared" si="32"/>
        <v>45872</v>
      </c>
      <c r="L73" s="64">
        <f t="shared" si="33"/>
        <v>45873</v>
      </c>
      <c r="M73" s="65">
        <f t="shared" si="34"/>
        <v>45874</v>
      </c>
      <c r="N73" s="65">
        <f t="shared" si="35"/>
        <v>45875</v>
      </c>
      <c r="O73" s="65">
        <f t="shared" si="36"/>
        <v>45876</v>
      </c>
      <c r="P73" s="66">
        <f t="shared" si="37"/>
        <v>45877</v>
      </c>
      <c r="Q73" s="88">
        <f t="shared" si="38"/>
        <v>45878</v>
      </c>
      <c r="R73" s="123"/>
    </row>
    <row r="74" spans="1:21" x14ac:dyDescent="0.25">
      <c r="A74" s="50">
        <v>45702</v>
      </c>
      <c r="B74" s="67" t="s">
        <v>34</v>
      </c>
      <c r="C74" s="111">
        <f>_xlfn.IFNA(_xlfn.IFNA(VLOOKUP(B74,Withd,2,FALSE),VLOOKUP(B74,income,2,FALSE)),"")</f>
        <v>-105</v>
      </c>
      <c r="E74" s="43">
        <f t="shared" si="30"/>
        <v>7</v>
      </c>
      <c r="F74" s="41">
        <f t="shared" si="18"/>
        <v>45661</v>
      </c>
      <c r="G74" s="44" t="str">
        <f t="shared" si="31"/>
        <v/>
      </c>
      <c r="H74" s="111">
        <f t="shared" si="26"/>
        <v>16843.8</v>
      </c>
      <c r="I74" s="111"/>
      <c r="J74" s="124">
        <f>K74</f>
        <v>45879</v>
      </c>
      <c r="K74" s="63">
        <f t="shared" si="32"/>
        <v>45879</v>
      </c>
      <c r="L74" s="65">
        <f t="shared" si="33"/>
        <v>45880</v>
      </c>
      <c r="M74" s="65">
        <f t="shared" si="34"/>
        <v>45881</v>
      </c>
      <c r="N74" s="65">
        <f t="shared" si="35"/>
        <v>45882</v>
      </c>
      <c r="O74" s="65">
        <f t="shared" si="36"/>
        <v>45883</v>
      </c>
      <c r="P74" s="65">
        <f t="shared" si="37"/>
        <v>45884</v>
      </c>
      <c r="Q74" s="88">
        <f t="shared" si="38"/>
        <v>45885</v>
      </c>
      <c r="R74" s="123"/>
    </row>
    <row r="75" spans="1:21" x14ac:dyDescent="0.25">
      <c r="A75" s="41">
        <v>45703</v>
      </c>
      <c r="B75" s="42" t="s">
        <v>46</v>
      </c>
      <c r="C75" s="111">
        <f>_xlfn.IFNA(_xlfn.IFNA(VLOOKUP(B75,Withd,2,FALSE),VLOOKUP(B75,income,2,FALSE)),"")</f>
        <v>-940</v>
      </c>
      <c r="E75" s="43">
        <f t="shared" si="30"/>
        <v>1</v>
      </c>
      <c r="F75" s="41">
        <f t="shared" si="18"/>
        <v>45662</v>
      </c>
      <c r="G75" s="44" t="str">
        <f t="shared" si="31"/>
        <v/>
      </c>
      <c r="H75" s="111">
        <f t="shared" si="26"/>
        <v>16843.8</v>
      </c>
      <c r="I75" s="111"/>
      <c r="J75" s="125">
        <f>K74</f>
        <v>45879</v>
      </c>
      <c r="K75" s="63">
        <f t="shared" si="32"/>
        <v>45886</v>
      </c>
      <c r="L75" s="64">
        <f t="shared" si="33"/>
        <v>45887</v>
      </c>
      <c r="M75" s="65">
        <f t="shared" si="34"/>
        <v>45888</v>
      </c>
      <c r="N75" s="65">
        <f t="shared" si="35"/>
        <v>45889</v>
      </c>
      <c r="O75" s="65">
        <f t="shared" si="36"/>
        <v>45890</v>
      </c>
      <c r="P75" s="66">
        <f t="shared" si="37"/>
        <v>45891</v>
      </c>
      <c r="Q75" s="88">
        <f t="shared" si="38"/>
        <v>45892</v>
      </c>
      <c r="R75" s="123"/>
    </row>
    <row r="76" spans="1:21" ht="15.75" thickBot="1" x14ac:dyDescent="0.3">
      <c r="A76" s="41">
        <v>45705</v>
      </c>
      <c r="B76" s="42" t="s">
        <v>20</v>
      </c>
      <c r="C76" s="111">
        <f>_xlfn.IFNA(_xlfn.IFNA(VLOOKUP(B76,Withd,2,FALSE),VLOOKUP(B76,income,2,FALSE)),"")</f>
        <v>-60</v>
      </c>
      <c r="E76" s="43">
        <f t="shared" si="30"/>
        <v>2</v>
      </c>
      <c r="F76" s="41">
        <f t="shared" si="18"/>
        <v>45663</v>
      </c>
      <c r="G76" s="44" t="str">
        <f t="shared" si="31"/>
        <v/>
      </c>
      <c r="H76" s="111">
        <f t="shared" si="26"/>
        <v>16843.8</v>
      </c>
      <c r="I76" s="111"/>
      <c r="K76" s="63">
        <f t="shared" si="32"/>
        <v>45893</v>
      </c>
      <c r="L76" s="68">
        <f t="shared" si="33"/>
        <v>45894</v>
      </c>
      <c r="M76" s="68">
        <f t="shared" si="34"/>
        <v>45895</v>
      </c>
      <c r="N76" s="69">
        <f t="shared" si="35"/>
        <v>45896</v>
      </c>
      <c r="O76" s="68">
        <f t="shared" si="36"/>
        <v>45897</v>
      </c>
      <c r="P76" s="68">
        <f t="shared" si="37"/>
        <v>45898</v>
      </c>
      <c r="Q76" s="89">
        <f t="shared" si="38"/>
        <v>45899</v>
      </c>
      <c r="R76" s="123"/>
    </row>
    <row r="77" spans="1:21" ht="15.75" thickBot="1" x14ac:dyDescent="0.3">
      <c r="A77" s="41">
        <v>45708</v>
      </c>
      <c r="B77" s="48" t="s">
        <v>11</v>
      </c>
      <c r="C77" s="111">
        <f>_xlfn.IFNA(_xlfn.IFNA(VLOOKUP(B77,Withd,2,FALSE),VLOOKUP(B77,income,2,FALSE)),"")</f>
        <v>-300</v>
      </c>
      <c r="E77" s="43">
        <f t="shared" si="30"/>
        <v>3</v>
      </c>
      <c r="F77" s="41">
        <f t="shared" si="18"/>
        <v>45664</v>
      </c>
      <c r="G77" s="44" t="str">
        <f t="shared" si="31"/>
        <v>Tmobile</v>
      </c>
      <c r="H77" s="111">
        <f t="shared" si="26"/>
        <v>16573.8</v>
      </c>
      <c r="I77" s="111"/>
      <c r="K77" s="71">
        <f t="shared" si="32"/>
        <v>45900</v>
      </c>
      <c r="L77" s="87">
        <f t="shared" si="33"/>
        <v>45901</v>
      </c>
      <c r="M77" s="65">
        <f t="shared" si="34"/>
        <v>45902</v>
      </c>
      <c r="N77" s="65">
        <f t="shared" si="35"/>
        <v>45903</v>
      </c>
      <c r="O77" s="65">
        <f t="shared" si="36"/>
        <v>45904</v>
      </c>
      <c r="P77" s="66">
        <f t="shared" si="37"/>
        <v>45905</v>
      </c>
      <c r="Q77" s="88">
        <f t="shared" si="38"/>
        <v>45906</v>
      </c>
      <c r="R77" s="123"/>
    </row>
    <row r="78" spans="1:21" x14ac:dyDescent="0.25">
      <c r="A78" s="41">
        <v>45709</v>
      </c>
      <c r="B78" s="42" t="s">
        <v>6</v>
      </c>
      <c r="C78" s="111">
        <f>_xlfn.IFNA(_xlfn.IFNA(VLOOKUP(B78,Withd,2,FALSE),VLOOKUP(B78,income,2,FALSE)),"")</f>
        <v>2912.56</v>
      </c>
      <c r="E78" s="43">
        <f t="shared" si="30"/>
        <v>4</v>
      </c>
      <c r="F78" s="41">
        <f t="shared" si="18"/>
        <v>45665</v>
      </c>
      <c r="G78" s="44" t="str">
        <f t="shared" si="31"/>
        <v/>
      </c>
      <c r="H78" s="111">
        <f t="shared" si="26"/>
        <v>16573.8</v>
      </c>
      <c r="I78" s="111"/>
      <c r="J78" s="124">
        <f>K78</f>
        <v>45907</v>
      </c>
      <c r="K78" s="63">
        <f t="shared" ref="K78:K92" si="39">Q77+1</f>
        <v>45907</v>
      </c>
      <c r="L78" s="64">
        <f t="shared" ref="L78:L92" si="40">K78+1</f>
        <v>45908</v>
      </c>
      <c r="M78" s="65">
        <f t="shared" ref="M78:M92" si="41">L78+1</f>
        <v>45909</v>
      </c>
      <c r="N78" s="65">
        <f t="shared" ref="N78:N92" si="42">M78+1</f>
        <v>45910</v>
      </c>
      <c r="O78" s="65">
        <f t="shared" ref="O78:O92" si="43">N78+1</f>
        <v>45911</v>
      </c>
      <c r="P78" s="66">
        <f t="shared" ref="P78:P92" si="44">O78+1</f>
        <v>45912</v>
      </c>
      <c r="Q78" s="88">
        <f t="shared" ref="Q78:Q92" si="45">P78+1</f>
        <v>45913</v>
      </c>
    </row>
    <row r="79" spans="1:21" x14ac:dyDescent="0.25">
      <c r="A79" s="41">
        <v>45712</v>
      </c>
      <c r="B79" s="48" t="s">
        <v>8</v>
      </c>
      <c r="C79" s="111">
        <f>_xlfn.IFNA(_xlfn.IFNA(VLOOKUP(B79,Withd,2,FALSE),VLOOKUP(B79,income,2,FALSE)),"")</f>
        <v>-110</v>
      </c>
      <c r="E79" s="43">
        <f t="shared" si="30"/>
        <v>5</v>
      </c>
      <c r="F79" s="41">
        <f t="shared" si="18"/>
        <v>45666</v>
      </c>
      <c r="G79" s="44" t="str">
        <f t="shared" si="31"/>
        <v/>
      </c>
      <c r="H79" s="111">
        <f t="shared" si="26"/>
        <v>16573.8</v>
      </c>
      <c r="I79" s="111"/>
      <c r="J79" s="125">
        <f>K78</f>
        <v>45907</v>
      </c>
      <c r="K79" s="63">
        <f t="shared" si="39"/>
        <v>45914</v>
      </c>
      <c r="L79" s="64">
        <f t="shared" si="40"/>
        <v>45915</v>
      </c>
      <c r="M79" s="65">
        <f t="shared" si="41"/>
        <v>45916</v>
      </c>
      <c r="N79" s="65">
        <f t="shared" si="42"/>
        <v>45917</v>
      </c>
      <c r="O79" s="65">
        <f t="shared" si="43"/>
        <v>45918</v>
      </c>
      <c r="P79" s="66">
        <f t="shared" si="44"/>
        <v>45919</v>
      </c>
      <c r="Q79" s="88">
        <f t="shared" si="45"/>
        <v>45920</v>
      </c>
    </row>
    <row r="80" spans="1:21" ht="15.75" thickBot="1" x14ac:dyDescent="0.3">
      <c r="A80" s="50">
        <v>45714</v>
      </c>
      <c r="B80" s="48" t="s">
        <v>7</v>
      </c>
      <c r="C80" s="111">
        <f>_xlfn.IFNA(_xlfn.IFNA(VLOOKUP(B80,Withd,2,FALSE),VLOOKUP(B80,income,2,FALSE)),"")</f>
        <v>1227</v>
      </c>
      <c r="E80" s="43">
        <f t="shared" si="30"/>
        <v>6</v>
      </c>
      <c r="F80" s="41">
        <f t="shared" si="18"/>
        <v>45667</v>
      </c>
      <c r="G80" s="44" t="str">
        <f t="shared" si="31"/>
        <v>Water, Sewer, City, Amazon, Paycheck</v>
      </c>
      <c r="H80" s="111">
        <f t="shared" si="26"/>
        <v>19210.36</v>
      </c>
      <c r="I80" s="111"/>
      <c r="K80" s="63">
        <f t="shared" si="39"/>
        <v>45921</v>
      </c>
      <c r="L80" s="64">
        <f t="shared" si="40"/>
        <v>45922</v>
      </c>
      <c r="M80" s="65">
        <f t="shared" si="41"/>
        <v>45923</v>
      </c>
      <c r="N80" s="68">
        <f t="shared" si="42"/>
        <v>45924</v>
      </c>
      <c r="O80" s="68">
        <f t="shared" si="43"/>
        <v>45925</v>
      </c>
      <c r="P80" s="69">
        <f t="shared" si="44"/>
        <v>45926</v>
      </c>
      <c r="Q80" s="89">
        <f t="shared" si="45"/>
        <v>45927</v>
      </c>
    </row>
    <row r="81" spans="1:21" ht="15.75" thickBot="1" x14ac:dyDescent="0.3">
      <c r="A81" s="75">
        <v>45716</v>
      </c>
      <c r="B81" s="51" t="s">
        <v>23</v>
      </c>
      <c r="C81" s="111">
        <f>_xlfn.IFNA(_xlfn.IFNA(VLOOKUP(B81,Withd,2,FALSE),VLOOKUP(B81,income,2,FALSE)),"")</f>
        <v>-65</v>
      </c>
      <c r="E81" s="43">
        <f t="shared" si="30"/>
        <v>7</v>
      </c>
      <c r="F81" s="41">
        <f t="shared" si="18"/>
        <v>45668</v>
      </c>
      <c r="G81" s="44" t="str">
        <f t="shared" si="31"/>
        <v/>
      </c>
      <c r="H81" s="111">
        <f t="shared" si="26"/>
        <v>19210.36</v>
      </c>
      <c r="I81" s="111"/>
      <c r="K81" s="71">
        <f t="shared" si="39"/>
        <v>45928</v>
      </c>
      <c r="L81" s="72">
        <f t="shared" si="40"/>
        <v>45929</v>
      </c>
      <c r="M81" s="68">
        <f t="shared" si="41"/>
        <v>45930</v>
      </c>
      <c r="N81" s="58">
        <f t="shared" si="42"/>
        <v>45931</v>
      </c>
      <c r="O81" s="65">
        <f t="shared" si="43"/>
        <v>45932</v>
      </c>
      <c r="P81" s="66">
        <f t="shared" si="44"/>
        <v>45933</v>
      </c>
      <c r="Q81" s="88">
        <f t="shared" si="45"/>
        <v>45934</v>
      </c>
    </row>
    <row r="82" spans="1:21" x14ac:dyDescent="0.25">
      <c r="A82" s="49">
        <v>45716</v>
      </c>
      <c r="B82" s="42" t="s">
        <v>22</v>
      </c>
      <c r="C82" s="111">
        <f>_xlfn.IFNA(_xlfn.IFNA(VLOOKUP(B82,Withd,2,FALSE),VLOOKUP(B82,income,2,FALSE)),"")</f>
        <v>-75</v>
      </c>
      <c r="E82" s="43">
        <f t="shared" si="30"/>
        <v>1</v>
      </c>
      <c r="F82" s="41">
        <f t="shared" si="18"/>
        <v>45669</v>
      </c>
      <c r="G82" s="44" t="str">
        <f t="shared" si="31"/>
        <v>Car</v>
      </c>
      <c r="H82" s="111">
        <f t="shared" si="26"/>
        <v>18735.36</v>
      </c>
      <c r="I82" s="111"/>
      <c r="K82" s="63">
        <f t="shared" si="39"/>
        <v>45935</v>
      </c>
      <c r="L82" s="64">
        <f t="shared" si="40"/>
        <v>45936</v>
      </c>
      <c r="M82" s="65">
        <f t="shared" si="41"/>
        <v>45937</v>
      </c>
      <c r="N82" s="65">
        <f t="shared" si="42"/>
        <v>45938</v>
      </c>
      <c r="O82" s="65">
        <f t="shared" si="43"/>
        <v>45939</v>
      </c>
      <c r="P82" s="66">
        <f t="shared" si="44"/>
        <v>45940</v>
      </c>
      <c r="Q82" s="88">
        <f t="shared" si="45"/>
        <v>45941</v>
      </c>
    </row>
    <row r="83" spans="1:21" x14ac:dyDescent="0.25">
      <c r="A83" s="41">
        <v>45717</v>
      </c>
      <c r="B83" s="51" t="s">
        <v>4</v>
      </c>
      <c r="C83" s="111">
        <f>_xlfn.IFNA(_xlfn.IFNA(VLOOKUP(B83,Withd,2,FALSE),VLOOKUP(B83,income,2,FALSE)),"")</f>
        <v>-1050</v>
      </c>
      <c r="E83" s="43">
        <f t="shared" si="30"/>
        <v>2</v>
      </c>
      <c r="F83" s="41">
        <f t="shared" si="18"/>
        <v>45670</v>
      </c>
      <c r="G83" s="44" t="str">
        <f t="shared" si="31"/>
        <v>Paypal, Clean</v>
      </c>
      <c r="H83" s="111">
        <f t="shared" si="26"/>
        <v>17695.36</v>
      </c>
      <c r="I83" s="111"/>
      <c r="J83" s="124">
        <f>K83</f>
        <v>45942</v>
      </c>
      <c r="K83" s="63">
        <f t="shared" si="39"/>
        <v>45942</v>
      </c>
      <c r="L83" s="64">
        <f t="shared" si="40"/>
        <v>45943</v>
      </c>
      <c r="M83" s="65">
        <f t="shared" si="41"/>
        <v>45944</v>
      </c>
      <c r="N83" s="65">
        <f t="shared" si="42"/>
        <v>45945</v>
      </c>
      <c r="O83" s="65">
        <f t="shared" si="43"/>
        <v>45946</v>
      </c>
      <c r="P83" s="66">
        <f t="shared" si="44"/>
        <v>45947</v>
      </c>
      <c r="Q83" s="88">
        <f t="shared" si="45"/>
        <v>45948</v>
      </c>
    </row>
    <row r="84" spans="1:21" ht="15.75" thickBot="1" x14ac:dyDescent="0.3">
      <c r="A84" s="50">
        <v>45723</v>
      </c>
      <c r="B84" s="51" t="s">
        <v>9</v>
      </c>
      <c r="C84" s="111">
        <f>_xlfn.IFNA(_xlfn.IFNA(VLOOKUP(B84,Withd,2,FALSE),VLOOKUP(B84,income,2,FALSE)),"")</f>
        <v>-270</v>
      </c>
      <c r="E84" s="43">
        <f t="shared" si="30"/>
        <v>3</v>
      </c>
      <c r="F84" s="41">
        <f t="shared" si="18"/>
        <v>45671</v>
      </c>
      <c r="G84" s="44" t="str">
        <f>LookUpConcat(F84,Dates,TDesc,", ")</f>
        <v>StateFarm</v>
      </c>
      <c r="H84" s="111">
        <f t="shared" si="26"/>
        <v>17590.36</v>
      </c>
      <c r="I84" s="111"/>
      <c r="J84" s="125">
        <f>K83</f>
        <v>45942</v>
      </c>
      <c r="K84" s="63">
        <f t="shared" si="39"/>
        <v>45949</v>
      </c>
      <c r="L84" s="64">
        <f t="shared" si="40"/>
        <v>45950</v>
      </c>
      <c r="M84" s="65">
        <f t="shared" si="41"/>
        <v>45951</v>
      </c>
      <c r="N84" s="65">
        <f t="shared" si="42"/>
        <v>45952</v>
      </c>
      <c r="O84" s="65">
        <f t="shared" si="43"/>
        <v>45953</v>
      </c>
      <c r="P84" s="66">
        <f t="shared" si="44"/>
        <v>45954</v>
      </c>
      <c r="Q84" s="89">
        <f t="shared" si="45"/>
        <v>45955</v>
      </c>
    </row>
    <row r="85" spans="1:21" ht="15.75" thickBot="1" x14ac:dyDescent="0.3">
      <c r="A85" s="41">
        <v>45723</v>
      </c>
      <c r="B85" s="51" t="s">
        <v>6</v>
      </c>
      <c r="C85" s="111">
        <f>_xlfn.IFNA(_xlfn.IFNA(VLOOKUP(B85,Withd,2,FALSE),VLOOKUP(B85,income,2,FALSE)),"")</f>
        <v>2912.56</v>
      </c>
      <c r="E85" s="43">
        <f t="shared" si="30"/>
        <v>4</v>
      </c>
      <c r="F85" s="41">
        <f t="shared" si="18"/>
        <v>45672</v>
      </c>
      <c r="G85" s="44" t="str">
        <f>LookUpConcat(F85,Dates,TDesc,", ")</f>
        <v>NWM/IRA</v>
      </c>
      <c r="H85" s="111">
        <f t="shared" si="26"/>
        <v>16650.36</v>
      </c>
      <c r="I85" s="111"/>
      <c r="K85" s="71">
        <f t="shared" si="39"/>
        <v>45956</v>
      </c>
      <c r="L85" s="72">
        <f t="shared" si="40"/>
        <v>45957</v>
      </c>
      <c r="M85" s="68">
        <f t="shared" si="41"/>
        <v>45958</v>
      </c>
      <c r="N85" s="68">
        <f t="shared" si="42"/>
        <v>45959</v>
      </c>
      <c r="O85" s="68">
        <f t="shared" si="43"/>
        <v>45960</v>
      </c>
      <c r="P85" s="69">
        <f t="shared" si="44"/>
        <v>45961</v>
      </c>
      <c r="Q85" s="118">
        <f t="shared" si="45"/>
        <v>45962</v>
      </c>
    </row>
    <row r="86" spans="1:21" x14ac:dyDescent="0.25">
      <c r="A86" s="50">
        <v>45726</v>
      </c>
      <c r="B86" s="42" t="s">
        <v>18</v>
      </c>
      <c r="C86" s="111">
        <f>_xlfn.IFNA(_xlfn.IFNA(VLOOKUP(B86,Withd,2,FALSE),VLOOKUP(B86,income,2,FALSE)),"")</f>
        <v>-30</v>
      </c>
      <c r="E86" s="43">
        <f t="shared" si="30"/>
        <v>5</v>
      </c>
      <c r="F86" s="41">
        <f t="shared" si="18"/>
        <v>45673</v>
      </c>
      <c r="G86" s="44" t="str">
        <f>LookUpConcat(F86,Dates,TDesc,", ")</f>
        <v/>
      </c>
      <c r="H86" s="111">
        <f t="shared" si="26"/>
        <v>16650.36</v>
      </c>
      <c r="I86" s="111"/>
      <c r="K86" s="63">
        <f t="shared" si="39"/>
        <v>45963</v>
      </c>
      <c r="L86" s="64">
        <f t="shared" si="40"/>
        <v>45964</v>
      </c>
      <c r="M86" s="65">
        <f t="shared" si="41"/>
        <v>45965</v>
      </c>
      <c r="N86" s="65">
        <f t="shared" si="42"/>
        <v>45966</v>
      </c>
      <c r="O86" s="65">
        <f t="shared" si="43"/>
        <v>45967</v>
      </c>
      <c r="P86" s="66">
        <f t="shared" si="44"/>
        <v>45968</v>
      </c>
      <c r="Q86" s="88">
        <f t="shared" si="45"/>
        <v>45969</v>
      </c>
    </row>
    <row r="87" spans="1:21" x14ac:dyDescent="0.25">
      <c r="A87" s="41">
        <v>45726</v>
      </c>
      <c r="B87" s="42" t="s">
        <v>19</v>
      </c>
      <c r="C87" s="111">
        <f>_xlfn.IFNA(_xlfn.IFNA(VLOOKUP(B87,Withd,2,FALSE),VLOOKUP(B87,income,2,FALSE)),"")</f>
        <v>-35</v>
      </c>
      <c r="E87" s="43">
        <f t="shared" si="30"/>
        <v>6</v>
      </c>
      <c r="F87" s="41">
        <f t="shared" si="18"/>
        <v>45674</v>
      </c>
      <c r="G87" s="44" t="str">
        <f>LookUpConcat(F87,Dates,TDesc,", ")</f>
        <v/>
      </c>
      <c r="H87" s="111">
        <f t="shared" si="26"/>
        <v>16650.36</v>
      </c>
      <c r="I87" s="111"/>
      <c r="J87" s="124">
        <f>K87</f>
        <v>45970</v>
      </c>
      <c r="K87" s="63">
        <f t="shared" si="39"/>
        <v>45970</v>
      </c>
      <c r="L87" s="64">
        <f t="shared" si="40"/>
        <v>45971</v>
      </c>
      <c r="M87" s="65">
        <f t="shared" si="41"/>
        <v>45972</v>
      </c>
      <c r="N87" s="65">
        <f t="shared" si="42"/>
        <v>45973</v>
      </c>
      <c r="O87" s="65">
        <f t="shared" si="43"/>
        <v>45974</v>
      </c>
      <c r="P87" s="66">
        <f t="shared" si="44"/>
        <v>45975</v>
      </c>
      <c r="Q87" s="88">
        <f t="shared" si="45"/>
        <v>45976</v>
      </c>
    </row>
    <row r="88" spans="1:21" x14ac:dyDescent="0.25">
      <c r="A88" s="41">
        <v>45726</v>
      </c>
      <c r="B88" s="42" t="s">
        <v>21</v>
      </c>
      <c r="C88" s="111">
        <f>_xlfn.IFNA(_xlfn.IFNA(VLOOKUP(B88,Withd,2,FALSE),VLOOKUP(B88,income,2,FALSE)),"")</f>
        <v>-11</v>
      </c>
      <c r="E88" s="43">
        <f t="shared" si="30"/>
        <v>7</v>
      </c>
      <c r="F88" s="41">
        <f t="shared" si="18"/>
        <v>45675</v>
      </c>
      <c r="G88" s="44" t="str">
        <f>LookUpConcat(F88,Dates,TDesc,", ")</f>
        <v/>
      </c>
      <c r="H88" s="111">
        <f t="shared" si="26"/>
        <v>16650.36</v>
      </c>
      <c r="I88" s="111"/>
      <c r="J88" s="125">
        <f>K87</f>
        <v>45970</v>
      </c>
      <c r="K88" s="63">
        <f t="shared" si="39"/>
        <v>45977</v>
      </c>
      <c r="L88" s="64">
        <f t="shared" si="40"/>
        <v>45978</v>
      </c>
      <c r="M88" s="65">
        <f t="shared" si="41"/>
        <v>45979</v>
      </c>
      <c r="N88" s="65">
        <f t="shared" si="42"/>
        <v>45980</v>
      </c>
      <c r="O88" s="65">
        <f t="shared" si="43"/>
        <v>45981</v>
      </c>
      <c r="P88" s="66">
        <f t="shared" si="44"/>
        <v>45982</v>
      </c>
      <c r="Q88" s="88">
        <f t="shared" si="45"/>
        <v>45983</v>
      </c>
    </row>
    <row r="89" spans="1:21" ht="15.75" thickBot="1" x14ac:dyDescent="0.3">
      <c r="A89" s="41">
        <v>45726</v>
      </c>
      <c r="B89" s="48" t="s">
        <v>35</v>
      </c>
      <c r="C89" s="111">
        <f>_xlfn.IFNA(_xlfn.IFNA(VLOOKUP(B89,Withd,2,FALSE),VLOOKUP(B89,income,2,FALSE)),"")</f>
        <v>-200</v>
      </c>
      <c r="E89" s="43">
        <f t="shared" si="30"/>
        <v>1</v>
      </c>
      <c r="F89" s="41">
        <f t="shared" si="18"/>
        <v>45676</v>
      </c>
      <c r="G89" s="44" t="str">
        <f t="shared" ref="G89:G109" si="46">LookUpConcat(F89,Dates,TDesc,", ")</f>
        <v/>
      </c>
      <c r="H89" s="111">
        <f t="shared" si="26"/>
        <v>16650.36</v>
      </c>
      <c r="I89" s="111"/>
      <c r="K89" s="63">
        <f t="shared" si="39"/>
        <v>45984</v>
      </c>
      <c r="L89" s="72">
        <f t="shared" si="40"/>
        <v>45985</v>
      </c>
      <c r="M89" s="68">
        <f t="shared" si="41"/>
        <v>45986</v>
      </c>
      <c r="N89" s="68">
        <f t="shared" si="42"/>
        <v>45987</v>
      </c>
      <c r="O89" s="68">
        <f t="shared" si="43"/>
        <v>45988</v>
      </c>
      <c r="P89" s="69">
        <f t="shared" si="44"/>
        <v>45989</v>
      </c>
      <c r="Q89" s="89">
        <f t="shared" si="45"/>
        <v>45990</v>
      </c>
    </row>
    <row r="90" spans="1:21" ht="15.75" thickBot="1" x14ac:dyDescent="0.3">
      <c r="A90" s="50">
        <v>45726</v>
      </c>
      <c r="B90" s="51" t="s">
        <v>8</v>
      </c>
      <c r="C90" s="111">
        <f>_xlfn.IFNA(_xlfn.IFNA(VLOOKUP(B90,Withd,2,FALSE),VLOOKUP(B90,income,2,FALSE)),"")</f>
        <v>-110</v>
      </c>
      <c r="E90" s="43">
        <f t="shared" si="30"/>
        <v>2</v>
      </c>
      <c r="F90" s="41">
        <f t="shared" si="18"/>
        <v>45677</v>
      </c>
      <c r="G90" s="44" t="str">
        <f t="shared" si="46"/>
        <v>Fuel, AMEX</v>
      </c>
      <c r="H90" s="111">
        <f t="shared" si="26"/>
        <v>16290.36</v>
      </c>
      <c r="I90" s="111"/>
      <c r="K90" s="71">
        <f t="shared" si="39"/>
        <v>45991</v>
      </c>
      <c r="L90" s="87">
        <f t="shared" si="40"/>
        <v>45992</v>
      </c>
      <c r="M90" s="65">
        <f t="shared" si="41"/>
        <v>45993</v>
      </c>
      <c r="N90" s="65">
        <f t="shared" si="42"/>
        <v>45994</v>
      </c>
      <c r="O90" s="65">
        <f t="shared" si="43"/>
        <v>45995</v>
      </c>
      <c r="P90" s="66">
        <f t="shared" si="44"/>
        <v>45996</v>
      </c>
      <c r="Q90" s="88">
        <f t="shared" si="45"/>
        <v>45997</v>
      </c>
    </row>
    <row r="91" spans="1:21" x14ac:dyDescent="0.25">
      <c r="A91" s="41">
        <v>45728</v>
      </c>
      <c r="B91" s="48" t="s">
        <v>5</v>
      </c>
      <c r="C91" s="111">
        <f>_xlfn.IFNA(_xlfn.IFNA(VLOOKUP(B91,Withd,2,FALSE),VLOOKUP(B91,income,2,FALSE)),"")</f>
        <v>-475</v>
      </c>
      <c r="E91" s="43">
        <f t="shared" si="30"/>
        <v>3</v>
      </c>
      <c r="F91" s="41">
        <f t="shared" si="18"/>
        <v>45678</v>
      </c>
      <c r="G91" s="44" t="str">
        <f t="shared" si="46"/>
        <v/>
      </c>
      <c r="H91" s="111">
        <f t="shared" si="26"/>
        <v>16290.36</v>
      </c>
      <c r="I91" s="111"/>
      <c r="J91" s="124">
        <f>K91</f>
        <v>45998</v>
      </c>
      <c r="K91" s="63">
        <f t="shared" si="39"/>
        <v>45998</v>
      </c>
      <c r="L91" s="64">
        <f t="shared" si="40"/>
        <v>45999</v>
      </c>
      <c r="M91" s="65">
        <f t="shared" si="41"/>
        <v>46000</v>
      </c>
      <c r="N91" s="65">
        <f t="shared" si="42"/>
        <v>46001</v>
      </c>
      <c r="O91" s="65">
        <f t="shared" si="43"/>
        <v>46002</v>
      </c>
      <c r="P91" s="66">
        <f t="shared" si="44"/>
        <v>46003</v>
      </c>
      <c r="Q91" s="88">
        <f t="shared" si="45"/>
        <v>46004</v>
      </c>
    </row>
    <row r="92" spans="1:21" x14ac:dyDescent="0.25">
      <c r="A92" s="41">
        <v>45729</v>
      </c>
      <c r="B92" s="42" t="s">
        <v>33</v>
      </c>
      <c r="C92" s="111">
        <f>_xlfn.IFNA(_xlfn.IFNA(VLOOKUP(B92,Withd,2,FALSE),VLOOKUP(B92,income,2,FALSE)),"")</f>
        <v>-930</v>
      </c>
      <c r="E92" s="43">
        <f t="shared" si="30"/>
        <v>4</v>
      </c>
      <c r="F92" s="41">
        <f t="shared" si="18"/>
        <v>45679</v>
      </c>
      <c r="G92" s="44" t="str">
        <f t="shared" si="46"/>
        <v>IIS</v>
      </c>
      <c r="H92" s="111">
        <f t="shared" si="26"/>
        <v>17517.36</v>
      </c>
      <c r="I92" s="111"/>
      <c r="J92" s="125">
        <f>K91</f>
        <v>45998</v>
      </c>
      <c r="K92" s="63">
        <f t="shared" si="39"/>
        <v>46005</v>
      </c>
      <c r="L92" s="64">
        <f t="shared" si="40"/>
        <v>46006</v>
      </c>
      <c r="M92" s="65">
        <f t="shared" si="41"/>
        <v>46007</v>
      </c>
      <c r="N92" s="65">
        <f t="shared" si="42"/>
        <v>46008</v>
      </c>
      <c r="O92" s="65">
        <f t="shared" si="43"/>
        <v>46009</v>
      </c>
      <c r="P92" s="66">
        <f t="shared" si="44"/>
        <v>46010</v>
      </c>
      <c r="Q92" s="88">
        <f t="shared" si="45"/>
        <v>46011</v>
      </c>
      <c r="U92" s="33"/>
    </row>
    <row r="93" spans="1:21" x14ac:dyDescent="0.25">
      <c r="A93" s="50">
        <v>45730</v>
      </c>
      <c r="B93" s="51" t="s">
        <v>34</v>
      </c>
      <c r="C93" s="111">
        <f>_xlfn.IFNA(_xlfn.IFNA(VLOOKUP(B93,Withd,2,FALSE),VLOOKUP(B93,income,2,FALSE)),"")</f>
        <v>-105</v>
      </c>
      <c r="E93" s="43">
        <f t="shared" si="30"/>
        <v>5</v>
      </c>
      <c r="F93" s="41">
        <f t="shared" si="18"/>
        <v>45680</v>
      </c>
      <c r="G93" s="44" t="str">
        <f t="shared" si="46"/>
        <v/>
      </c>
      <c r="H93" s="111">
        <f t="shared" si="26"/>
        <v>17517.36</v>
      </c>
      <c r="I93" s="111"/>
      <c r="K93" s="63">
        <f t="shared" ref="K93:K94" si="47">Q92+1</f>
        <v>46012</v>
      </c>
      <c r="L93" s="64">
        <f t="shared" ref="L93:L94" si="48">K93+1</f>
        <v>46013</v>
      </c>
      <c r="M93" s="65">
        <f t="shared" ref="M93:M94" si="49">L93+1</f>
        <v>46014</v>
      </c>
      <c r="N93" s="65">
        <f t="shared" ref="N93:N94" si="50">M93+1</f>
        <v>46015</v>
      </c>
      <c r="O93" s="65">
        <f t="shared" ref="O93:O94" si="51">N93+1</f>
        <v>46016</v>
      </c>
      <c r="P93" s="66">
        <f t="shared" ref="P93:P94" si="52">O93+1</f>
        <v>46017</v>
      </c>
      <c r="Q93" s="88">
        <f t="shared" ref="Q93:Q94" si="53">P93+1</f>
        <v>46018</v>
      </c>
      <c r="U93" s="33"/>
    </row>
    <row r="94" spans="1:21" ht="15.75" thickBot="1" x14ac:dyDescent="0.3">
      <c r="A94" s="41">
        <v>45731</v>
      </c>
      <c r="B94" s="51" t="s">
        <v>46</v>
      </c>
      <c r="C94" s="111">
        <f>_xlfn.IFNA(_xlfn.IFNA(VLOOKUP(B94,Withd,2,FALSE),VLOOKUP(B94,income,2,FALSE)),"")</f>
        <v>-940</v>
      </c>
      <c r="E94" s="43">
        <f t="shared" si="30"/>
        <v>6</v>
      </c>
      <c r="F94" s="41">
        <f t="shared" si="18"/>
        <v>45681</v>
      </c>
      <c r="G94" s="44" t="str">
        <f t="shared" si="46"/>
        <v>Paycheck</v>
      </c>
      <c r="H94" s="111">
        <f t="shared" si="26"/>
        <v>20429.920000000002</v>
      </c>
      <c r="I94" s="111"/>
      <c r="K94" s="71">
        <f t="shared" si="47"/>
        <v>46019</v>
      </c>
      <c r="L94" s="72">
        <f t="shared" si="48"/>
        <v>46020</v>
      </c>
      <c r="M94" s="68">
        <f t="shared" si="49"/>
        <v>46021</v>
      </c>
      <c r="N94" s="68">
        <f t="shared" si="50"/>
        <v>46022</v>
      </c>
      <c r="O94" s="68">
        <f t="shared" si="51"/>
        <v>46023</v>
      </c>
      <c r="P94" s="69">
        <f t="shared" si="52"/>
        <v>46024</v>
      </c>
      <c r="Q94" s="89">
        <f t="shared" si="53"/>
        <v>46025</v>
      </c>
      <c r="U94" s="33"/>
    </row>
    <row r="95" spans="1:21" x14ac:dyDescent="0.25">
      <c r="A95" s="41">
        <v>45733</v>
      </c>
      <c r="B95" s="32" t="s">
        <v>20</v>
      </c>
      <c r="C95" s="111">
        <f>_xlfn.IFNA(_xlfn.IFNA(VLOOKUP(B95,Withd,2,FALSE),VLOOKUP(B95,income,2,FALSE)),"")</f>
        <v>-60</v>
      </c>
      <c r="E95" s="43">
        <f t="shared" si="30"/>
        <v>7</v>
      </c>
      <c r="F95" s="41">
        <f t="shared" si="18"/>
        <v>45682</v>
      </c>
      <c r="G95" s="44" t="str">
        <f t="shared" si="46"/>
        <v/>
      </c>
      <c r="H95" s="111">
        <f t="shared" si="26"/>
        <v>20429.920000000002</v>
      </c>
      <c r="I95" s="111"/>
      <c r="U95" s="33"/>
    </row>
    <row r="96" spans="1:21" x14ac:dyDescent="0.25">
      <c r="A96" s="41">
        <v>45736</v>
      </c>
      <c r="B96" s="42" t="s">
        <v>11</v>
      </c>
      <c r="C96" s="111">
        <f>_xlfn.IFNA(_xlfn.IFNA(VLOOKUP(B96,Withd,2,FALSE),VLOOKUP(B96,income,2,FALSE)),"")</f>
        <v>-300</v>
      </c>
      <c r="E96" s="43">
        <f t="shared" si="30"/>
        <v>1</v>
      </c>
      <c r="F96" s="41">
        <f t="shared" si="18"/>
        <v>45683</v>
      </c>
      <c r="G96" s="44" t="str">
        <f t="shared" si="46"/>
        <v/>
      </c>
      <c r="H96" s="111">
        <f t="shared" si="26"/>
        <v>20429.920000000002</v>
      </c>
      <c r="I96" s="111"/>
      <c r="U96" s="33"/>
    </row>
    <row r="97" spans="1:30" x14ac:dyDescent="0.25">
      <c r="A97" s="41">
        <v>45737</v>
      </c>
      <c r="B97" s="51" t="s">
        <v>6</v>
      </c>
      <c r="C97" s="111">
        <f>_xlfn.IFNA(_xlfn.IFNA(VLOOKUP(B97,Withd,2,FALSE),VLOOKUP(B97,income,2,FALSE)),"")</f>
        <v>2912.56</v>
      </c>
      <c r="E97" s="43">
        <f t="shared" si="30"/>
        <v>2</v>
      </c>
      <c r="F97" s="41">
        <f t="shared" si="18"/>
        <v>45684</v>
      </c>
      <c r="G97" s="44" t="str">
        <f t="shared" si="46"/>
        <v>Clean</v>
      </c>
      <c r="H97" s="111">
        <f t="shared" si="26"/>
        <v>20319.920000000002</v>
      </c>
      <c r="I97" s="111"/>
      <c r="U97" s="33"/>
    </row>
    <row r="98" spans="1:30" x14ac:dyDescent="0.25">
      <c r="A98" s="101">
        <v>45740</v>
      </c>
      <c r="B98" s="42" t="s">
        <v>8</v>
      </c>
      <c r="C98" s="111">
        <f>_xlfn.IFNA(_xlfn.IFNA(VLOOKUP(B98,Withd,2,FALSE),VLOOKUP(B98,income,2,FALSE)),"")</f>
        <v>-110</v>
      </c>
      <c r="E98" s="43">
        <f t="shared" si="30"/>
        <v>3</v>
      </c>
      <c r="F98" s="41">
        <f t="shared" si="18"/>
        <v>45685</v>
      </c>
      <c r="G98" s="44" t="str">
        <f t="shared" si="46"/>
        <v>Gas, Power</v>
      </c>
      <c r="H98" s="111">
        <f t="shared" si="26"/>
        <v>20179.920000000002</v>
      </c>
      <c r="I98" s="111"/>
      <c r="U98" s="33"/>
    </row>
    <row r="99" spans="1:30" x14ac:dyDescent="0.25">
      <c r="A99" s="75">
        <v>45742</v>
      </c>
      <c r="B99" s="48" t="s">
        <v>7</v>
      </c>
      <c r="C99" s="111">
        <f>_xlfn.IFNA(_xlfn.IFNA(VLOOKUP(B99,Withd,2,FALSE),VLOOKUP(B99,income,2,FALSE)),"")</f>
        <v>1227</v>
      </c>
      <c r="E99" s="43">
        <f t="shared" si="30"/>
        <v>4</v>
      </c>
      <c r="F99" s="41">
        <f t="shared" si="18"/>
        <v>45686</v>
      </c>
      <c r="G99" s="44" t="str">
        <f t="shared" si="46"/>
        <v/>
      </c>
      <c r="H99" s="111">
        <f t="shared" si="26"/>
        <v>20179.920000000002</v>
      </c>
      <c r="I99" s="111"/>
      <c r="U99" s="33"/>
    </row>
    <row r="100" spans="1:30" x14ac:dyDescent="0.25">
      <c r="A100" s="41">
        <v>45744</v>
      </c>
      <c r="B100" s="67" t="s">
        <v>23</v>
      </c>
      <c r="C100" s="111">
        <f>_xlfn.IFNA(_xlfn.IFNA(VLOOKUP(B100,Withd,2,FALSE),VLOOKUP(B100,income,2,FALSE)),"")</f>
        <v>-65</v>
      </c>
      <c r="E100" s="43">
        <f t="shared" si="30"/>
        <v>5</v>
      </c>
      <c r="F100" s="41">
        <f t="shared" si="18"/>
        <v>45687</v>
      </c>
      <c r="G100" s="44" t="str">
        <f t="shared" si="46"/>
        <v/>
      </c>
      <c r="H100" s="111">
        <f t="shared" ref="H100:H131" si="54">H99+SUMIF(Dates,F100,TAMTS)</f>
        <v>20179.920000000002</v>
      </c>
      <c r="I100" s="111"/>
    </row>
    <row r="101" spans="1:30" x14ac:dyDescent="0.25">
      <c r="A101" s="41">
        <v>45744</v>
      </c>
      <c r="B101" s="67" t="s">
        <v>22</v>
      </c>
      <c r="C101" s="111">
        <f>_xlfn.IFNA(_xlfn.IFNA(VLOOKUP(B101,Withd,2,FALSE),VLOOKUP(B101,income,2,FALSE)),"")</f>
        <v>-75</v>
      </c>
      <c r="E101" s="43">
        <f t="shared" si="30"/>
        <v>6</v>
      </c>
      <c r="F101" s="41">
        <f t="shared" si="18"/>
        <v>45688</v>
      </c>
      <c r="G101" s="44" t="str">
        <f t="shared" si="46"/>
        <v/>
      </c>
      <c r="H101" s="111">
        <f t="shared" si="54"/>
        <v>20179.920000000002</v>
      </c>
      <c r="I101" s="111"/>
    </row>
    <row r="102" spans="1:30" x14ac:dyDescent="0.25">
      <c r="A102" s="41">
        <v>45748</v>
      </c>
      <c r="B102" s="42" t="s">
        <v>4</v>
      </c>
      <c r="C102" s="111">
        <f>_xlfn.IFNA(_xlfn.IFNA(VLOOKUP(B102,Withd,2,FALSE),VLOOKUP(B102,income,2,FALSE)),"")</f>
        <v>-1050</v>
      </c>
      <c r="E102" s="43">
        <f t="shared" si="30"/>
        <v>7</v>
      </c>
      <c r="F102" s="41">
        <f t="shared" si="18"/>
        <v>45689</v>
      </c>
      <c r="G102" s="44" t="str">
        <f t="shared" si="46"/>
        <v>Rent</v>
      </c>
      <c r="H102" s="111">
        <f t="shared" si="54"/>
        <v>19129.920000000002</v>
      </c>
      <c r="I102" s="111"/>
    </row>
    <row r="103" spans="1:30" x14ac:dyDescent="0.25">
      <c r="A103" s="41">
        <v>45751</v>
      </c>
      <c r="B103" s="42" t="s">
        <v>6</v>
      </c>
      <c r="C103" s="111">
        <f>_xlfn.IFNA(_xlfn.IFNA(VLOOKUP(B103,Withd,2,FALSE),VLOOKUP(B103,income,2,FALSE)),"")</f>
        <v>2912.56</v>
      </c>
      <c r="E103" s="43">
        <f t="shared" si="30"/>
        <v>1</v>
      </c>
      <c r="F103" s="41">
        <f t="shared" si="18"/>
        <v>45690</v>
      </c>
      <c r="G103" s="44" t="str">
        <f t="shared" si="46"/>
        <v/>
      </c>
      <c r="H103" s="111">
        <f t="shared" si="54"/>
        <v>19129.920000000002</v>
      </c>
      <c r="I103" s="111"/>
    </row>
    <row r="104" spans="1:30" x14ac:dyDescent="0.25">
      <c r="A104" s="41">
        <v>45754</v>
      </c>
      <c r="B104" s="32" t="s">
        <v>9</v>
      </c>
      <c r="C104" s="111">
        <f>_xlfn.IFNA(_xlfn.IFNA(VLOOKUP(B104,Withd,2,FALSE),VLOOKUP(B104,income,2,FALSE)),"")</f>
        <v>-270</v>
      </c>
      <c r="E104" s="43">
        <f t="shared" si="30"/>
        <v>2</v>
      </c>
      <c r="F104" s="41">
        <f t="shared" si="18"/>
        <v>45691</v>
      </c>
      <c r="G104" s="44" t="str">
        <f t="shared" si="46"/>
        <v/>
      </c>
      <c r="H104" s="111">
        <f t="shared" si="54"/>
        <v>19129.920000000002</v>
      </c>
      <c r="I104" s="111"/>
    </row>
    <row r="105" spans="1:30" x14ac:dyDescent="0.25">
      <c r="A105" s="41">
        <v>45754</v>
      </c>
      <c r="B105" s="67" t="s">
        <v>8</v>
      </c>
      <c r="C105" s="111">
        <f>_xlfn.IFNA(_xlfn.IFNA(VLOOKUP(B105,Withd,2,FALSE),VLOOKUP(B105,income,2,FALSE)),"")</f>
        <v>-110</v>
      </c>
      <c r="E105" s="43">
        <f t="shared" si="30"/>
        <v>3</v>
      </c>
      <c r="F105" s="41">
        <f t="shared" si="18"/>
        <v>45692</v>
      </c>
      <c r="G105" s="44" t="str">
        <f t="shared" si="46"/>
        <v/>
      </c>
      <c r="H105" s="111">
        <f t="shared" si="54"/>
        <v>19129.920000000002</v>
      </c>
      <c r="I105" s="111"/>
    </row>
    <row r="106" spans="1:30" x14ac:dyDescent="0.25">
      <c r="A106" s="41">
        <v>45757</v>
      </c>
      <c r="B106" s="51" t="s">
        <v>18</v>
      </c>
      <c r="C106" s="111">
        <f>_xlfn.IFNA(_xlfn.IFNA(VLOOKUP(B106,Withd,2,FALSE),VLOOKUP(B106,income,2,FALSE)),"")</f>
        <v>-30</v>
      </c>
      <c r="E106" s="43">
        <f t="shared" si="30"/>
        <v>4</v>
      </c>
      <c r="F106" s="41">
        <f t="shared" si="18"/>
        <v>45693</v>
      </c>
      <c r="G106" s="44" t="str">
        <f t="shared" si="46"/>
        <v/>
      </c>
      <c r="H106" s="111">
        <f t="shared" si="54"/>
        <v>19129.920000000002</v>
      </c>
      <c r="I106" s="111"/>
    </row>
    <row r="107" spans="1:30" x14ac:dyDescent="0.25">
      <c r="A107" s="41">
        <v>45757</v>
      </c>
      <c r="B107" s="48" t="s">
        <v>19</v>
      </c>
      <c r="C107" s="111">
        <f>_xlfn.IFNA(_xlfn.IFNA(VLOOKUP(B107,Withd,2,FALSE),VLOOKUP(B107,income,2,FALSE)),"")</f>
        <v>-35</v>
      </c>
      <c r="E107" s="43">
        <f t="shared" si="30"/>
        <v>5</v>
      </c>
      <c r="F107" s="41">
        <f t="shared" si="18"/>
        <v>45694</v>
      </c>
      <c r="G107" s="44" t="str">
        <f t="shared" si="46"/>
        <v/>
      </c>
      <c r="H107" s="111">
        <f t="shared" si="54"/>
        <v>19129.920000000002</v>
      </c>
      <c r="I107" s="111"/>
    </row>
    <row r="108" spans="1:30" x14ac:dyDescent="0.25">
      <c r="A108" s="49">
        <v>45757</v>
      </c>
      <c r="B108" s="42" t="s">
        <v>21</v>
      </c>
      <c r="C108" s="111">
        <f>_xlfn.IFNA(_xlfn.IFNA(VLOOKUP(B108,Withd,2,FALSE),VLOOKUP(B108,income,2,FALSE)),"")</f>
        <v>-11</v>
      </c>
      <c r="E108" s="43">
        <f t="shared" si="30"/>
        <v>6</v>
      </c>
      <c r="F108" s="41">
        <f t="shared" si="18"/>
        <v>45695</v>
      </c>
      <c r="G108" s="44" t="str">
        <f t="shared" si="46"/>
        <v>Tmobile, Paycheck</v>
      </c>
      <c r="H108" s="111">
        <f t="shared" si="54"/>
        <v>21772.480000000003</v>
      </c>
      <c r="I108" s="111"/>
    </row>
    <row r="109" spans="1:30" x14ac:dyDescent="0.25">
      <c r="A109" s="50">
        <v>45757</v>
      </c>
      <c r="B109" s="51" t="s">
        <v>35</v>
      </c>
      <c r="C109" s="111">
        <f>_xlfn.IFNA(_xlfn.IFNA(VLOOKUP(B109,Withd,2,FALSE),VLOOKUP(B109,income,2,FALSE)),"")</f>
        <v>-200</v>
      </c>
      <c r="E109" s="43">
        <f t="shared" si="30"/>
        <v>7</v>
      </c>
      <c r="F109" s="41">
        <f t="shared" si="18"/>
        <v>45696</v>
      </c>
      <c r="G109" s="44" t="str">
        <f t="shared" si="46"/>
        <v/>
      </c>
      <c r="H109" s="111">
        <f t="shared" si="54"/>
        <v>21772.480000000003</v>
      </c>
      <c r="I109" s="111"/>
      <c r="K109" s="65"/>
      <c r="L109" s="64"/>
      <c r="M109" s="65"/>
      <c r="N109" s="65"/>
      <c r="O109" s="65"/>
      <c r="P109" s="66"/>
      <c r="Q109" s="65"/>
    </row>
    <row r="110" spans="1:30" x14ac:dyDescent="0.25">
      <c r="A110" s="41">
        <v>45759</v>
      </c>
      <c r="B110" s="32" t="s">
        <v>5</v>
      </c>
      <c r="C110" s="111">
        <f>_xlfn.IFNA(_xlfn.IFNA(VLOOKUP(B110,Withd,2,FALSE),VLOOKUP(B110,income,2,FALSE)),"")</f>
        <v>-475</v>
      </c>
      <c r="E110" s="43">
        <f t="shared" si="30"/>
        <v>1</v>
      </c>
      <c r="F110" s="41">
        <f t="shared" si="18"/>
        <v>45697</v>
      </c>
      <c r="G110" s="44" t="str">
        <f t="shared" ref="G110:G139" si="55">LookUpConcat(F110,Dates,TDesc,", ")</f>
        <v/>
      </c>
      <c r="H110" s="111">
        <f t="shared" si="54"/>
        <v>21772.480000000003</v>
      </c>
      <c r="I110" s="111"/>
      <c r="K110" s="65"/>
      <c r="L110" s="64"/>
      <c r="M110" s="65"/>
      <c r="N110" s="65"/>
      <c r="O110" s="65"/>
      <c r="P110" s="66"/>
      <c r="Q110" s="65"/>
    </row>
    <row r="111" spans="1:30" x14ac:dyDescent="0.25">
      <c r="A111" s="41">
        <v>45760</v>
      </c>
      <c r="B111" s="51" t="s">
        <v>33</v>
      </c>
      <c r="C111" s="111">
        <f>_xlfn.IFNA(_xlfn.IFNA(VLOOKUP(B111,Withd,2,FALSE),VLOOKUP(B111,income,2,FALSE)),"")</f>
        <v>-930</v>
      </c>
      <c r="E111" s="43">
        <f t="shared" si="30"/>
        <v>2</v>
      </c>
      <c r="F111" s="41">
        <f t="shared" si="18"/>
        <v>45698</v>
      </c>
      <c r="G111" s="44" t="str">
        <f t="shared" si="55"/>
        <v>Water, Sewer, City, Amazon, Clean</v>
      </c>
      <c r="H111" s="111">
        <f t="shared" si="54"/>
        <v>21386.480000000003</v>
      </c>
      <c r="I111" s="111"/>
      <c r="K111" s="65"/>
      <c r="L111" s="64"/>
      <c r="M111" s="65"/>
      <c r="N111" s="65"/>
      <c r="O111" s="65"/>
      <c r="P111" s="66"/>
      <c r="Q111" s="65"/>
      <c r="AC111" s="117"/>
      <c r="AD111" s="117"/>
    </row>
    <row r="112" spans="1:30" x14ac:dyDescent="0.25">
      <c r="A112" s="49">
        <v>45761</v>
      </c>
      <c r="B112" s="42" t="s">
        <v>34</v>
      </c>
      <c r="C112" s="111">
        <f>_xlfn.IFNA(_xlfn.IFNA(VLOOKUP(B112,Withd,2,FALSE),VLOOKUP(B112,income,2,FALSE)),"")</f>
        <v>-105</v>
      </c>
      <c r="E112" s="43">
        <f t="shared" si="30"/>
        <v>3</v>
      </c>
      <c r="F112" s="41">
        <f t="shared" ref="F112:F175" si="56">F111+1</f>
        <v>45699</v>
      </c>
      <c r="G112" s="44" t="str">
        <f t="shared" si="55"/>
        <v/>
      </c>
      <c r="H112" s="111">
        <f t="shared" si="54"/>
        <v>21386.480000000003</v>
      </c>
      <c r="I112" s="111"/>
      <c r="K112" s="55"/>
      <c r="M112" s="90"/>
      <c r="AC112" s="46"/>
      <c r="AD112" s="46"/>
    </row>
    <row r="113" spans="1:30" x14ac:dyDescent="0.25">
      <c r="A113" s="41">
        <v>45762</v>
      </c>
      <c r="B113" s="51" t="s">
        <v>46</v>
      </c>
      <c r="C113" s="111">
        <f>_xlfn.IFNA(_xlfn.IFNA(VLOOKUP(B113,Withd,2,FALSE),VLOOKUP(B113,income,2,FALSE)),"")</f>
        <v>-940</v>
      </c>
      <c r="E113" s="43">
        <f t="shared" si="30"/>
        <v>4</v>
      </c>
      <c r="F113" s="41">
        <f t="shared" si="56"/>
        <v>45700</v>
      </c>
      <c r="G113" s="44" t="str">
        <f t="shared" si="55"/>
        <v>Car</v>
      </c>
      <c r="H113" s="111">
        <f t="shared" si="54"/>
        <v>20911.480000000003</v>
      </c>
      <c r="I113" s="111"/>
      <c r="K113" s="55"/>
      <c r="M113" s="90"/>
      <c r="AC113" s="46"/>
      <c r="AD113" s="46"/>
    </row>
    <row r="114" spans="1:30" x14ac:dyDescent="0.25">
      <c r="A114" s="41">
        <v>45765</v>
      </c>
      <c r="B114" s="32" t="s">
        <v>6</v>
      </c>
      <c r="C114" s="111">
        <f>_xlfn.IFNA(_xlfn.IFNA(VLOOKUP(B114,Withd,2,FALSE),VLOOKUP(B114,income,2,FALSE)),"")</f>
        <v>2912.56</v>
      </c>
      <c r="E114" s="43">
        <f t="shared" si="30"/>
        <v>5</v>
      </c>
      <c r="F114" s="41">
        <f t="shared" si="56"/>
        <v>45701</v>
      </c>
      <c r="G114" s="44" t="str">
        <f t="shared" si="55"/>
        <v>Paypal</v>
      </c>
      <c r="H114" s="111">
        <f t="shared" si="54"/>
        <v>19981.480000000003</v>
      </c>
      <c r="I114" s="111"/>
      <c r="K114" s="55"/>
      <c r="M114" s="90"/>
      <c r="AC114" s="46"/>
      <c r="AD114" s="46"/>
    </row>
    <row r="115" spans="1:30" x14ac:dyDescent="0.25">
      <c r="A115" s="41">
        <v>45767</v>
      </c>
      <c r="B115" s="32" t="s">
        <v>11</v>
      </c>
      <c r="C115" s="111">
        <f>_xlfn.IFNA(_xlfn.IFNA(VLOOKUP(B115,Withd,2,FALSE),VLOOKUP(B115,income,2,FALSE)),"")</f>
        <v>-300</v>
      </c>
      <c r="E115" s="43">
        <f t="shared" si="30"/>
        <v>6</v>
      </c>
      <c r="F115" s="41">
        <f t="shared" si="56"/>
        <v>45702</v>
      </c>
      <c r="G115" s="44" t="str">
        <f t="shared" si="55"/>
        <v>StateFarm</v>
      </c>
      <c r="H115" s="111">
        <f t="shared" si="54"/>
        <v>19876.480000000003</v>
      </c>
      <c r="I115" s="111"/>
      <c r="K115" s="55"/>
      <c r="M115" s="90"/>
      <c r="AC115" s="46"/>
      <c r="AD115" s="46"/>
    </row>
    <row r="116" spans="1:30" x14ac:dyDescent="0.25">
      <c r="A116" s="50">
        <v>45768</v>
      </c>
      <c r="B116" s="51" t="s">
        <v>20</v>
      </c>
      <c r="C116" s="111">
        <f>_xlfn.IFNA(_xlfn.IFNA(VLOOKUP(B116,Withd,2,FALSE),VLOOKUP(B116,income,2,FALSE)),"")</f>
        <v>-60</v>
      </c>
      <c r="E116" s="43">
        <f t="shared" si="30"/>
        <v>7</v>
      </c>
      <c r="F116" s="41">
        <f t="shared" si="56"/>
        <v>45703</v>
      </c>
      <c r="G116" s="44" t="str">
        <f t="shared" si="55"/>
        <v>NWM/IRA</v>
      </c>
      <c r="H116" s="111">
        <f t="shared" si="54"/>
        <v>18936.480000000003</v>
      </c>
      <c r="I116" s="111"/>
      <c r="K116" s="55"/>
      <c r="M116" s="90"/>
      <c r="AC116" s="46"/>
      <c r="AD116" s="46"/>
    </row>
    <row r="117" spans="1:30" x14ac:dyDescent="0.25">
      <c r="A117" s="41">
        <v>45768</v>
      </c>
      <c r="B117" s="42" t="s">
        <v>8</v>
      </c>
      <c r="C117" s="111">
        <f>_xlfn.IFNA(_xlfn.IFNA(VLOOKUP(B117,Withd,2,FALSE),VLOOKUP(B117,income,2,FALSE)),"")</f>
        <v>-110</v>
      </c>
      <c r="E117" s="43">
        <f t="shared" si="30"/>
        <v>1</v>
      </c>
      <c r="F117" s="41">
        <f t="shared" si="56"/>
        <v>45704</v>
      </c>
      <c r="G117" s="44" t="str">
        <f t="shared" si="55"/>
        <v/>
      </c>
      <c r="H117" s="111">
        <f t="shared" si="54"/>
        <v>18936.480000000003</v>
      </c>
      <c r="I117" s="111"/>
      <c r="K117" s="55"/>
      <c r="M117" s="90"/>
      <c r="AC117" s="46"/>
      <c r="AD117" s="46"/>
    </row>
    <row r="118" spans="1:30" x14ac:dyDescent="0.25">
      <c r="A118" s="41">
        <v>45770</v>
      </c>
      <c r="B118" s="42" t="s">
        <v>7</v>
      </c>
      <c r="C118" s="111">
        <f>_xlfn.IFNA(_xlfn.IFNA(VLOOKUP(B118,Withd,2,FALSE),VLOOKUP(B118,income,2,FALSE)),"")</f>
        <v>1227</v>
      </c>
      <c r="E118" s="43">
        <f t="shared" si="30"/>
        <v>2</v>
      </c>
      <c r="F118" s="41">
        <f t="shared" si="56"/>
        <v>45705</v>
      </c>
      <c r="G118" s="44" t="str">
        <f t="shared" si="55"/>
        <v>Fuel</v>
      </c>
      <c r="H118" s="111">
        <f t="shared" si="54"/>
        <v>18876.480000000003</v>
      </c>
      <c r="I118" s="111"/>
      <c r="K118" s="55"/>
      <c r="M118" s="90"/>
      <c r="AC118" s="46"/>
      <c r="AD118" s="46"/>
    </row>
    <row r="119" spans="1:30" x14ac:dyDescent="0.25">
      <c r="A119" s="41">
        <v>45775</v>
      </c>
      <c r="B119" s="42" t="s">
        <v>23</v>
      </c>
      <c r="C119" s="111">
        <f>_xlfn.IFNA(_xlfn.IFNA(VLOOKUP(B119,Withd,2,FALSE),VLOOKUP(B119,income,2,FALSE)),"")</f>
        <v>-65</v>
      </c>
      <c r="E119" s="43">
        <f t="shared" si="30"/>
        <v>3</v>
      </c>
      <c r="F119" s="41">
        <f t="shared" si="56"/>
        <v>45706</v>
      </c>
      <c r="G119" s="44" t="str">
        <f t="shared" si="55"/>
        <v/>
      </c>
      <c r="H119" s="111">
        <f t="shared" si="54"/>
        <v>18876.480000000003</v>
      </c>
      <c r="I119" s="111"/>
      <c r="K119" s="55"/>
      <c r="M119" s="90"/>
      <c r="AC119" s="46"/>
      <c r="AD119" s="46"/>
    </row>
    <row r="120" spans="1:30" x14ac:dyDescent="0.25">
      <c r="A120" s="41">
        <v>45775</v>
      </c>
      <c r="B120" s="74" t="s">
        <v>22</v>
      </c>
      <c r="C120" s="111">
        <f>_xlfn.IFNA(_xlfn.IFNA(VLOOKUP(B120,Withd,2,FALSE),VLOOKUP(B120,income,2,FALSE)),"")</f>
        <v>-75</v>
      </c>
      <c r="E120" s="43">
        <f t="shared" si="30"/>
        <v>4</v>
      </c>
      <c r="F120" s="41">
        <f t="shared" si="56"/>
        <v>45707</v>
      </c>
      <c r="G120" s="44" t="str">
        <f t="shared" si="55"/>
        <v/>
      </c>
      <c r="H120" s="111">
        <f t="shared" si="54"/>
        <v>18876.480000000003</v>
      </c>
      <c r="I120" s="111"/>
      <c r="K120" s="55"/>
      <c r="M120" s="90"/>
      <c r="AC120" s="46"/>
      <c r="AD120" s="46"/>
    </row>
    <row r="121" spans="1:30" x14ac:dyDescent="0.25">
      <c r="A121" s="50"/>
      <c r="B121" s="51"/>
      <c r="C121" s="111" t="str">
        <f>_xlfn.IFNA(_xlfn.IFNA(VLOOKUP(B121,Withd,2,FALSE),VLOOKUP(B121,income,2,FALSE)),"")</f>
        <v/>
      </c>
      <c r="E121" s="43">
        <f t="shared" si="30"/>
        <v>5</v>
      </c>
      <c r="F121" s="41">
        <f t="shared" si="56"/>
        <v>45708</v>
      </c>
      <c r="G121" s="44" t="str">
        <f t="shared" si="55"/>
        <v>AMEX</v>
      </c>
      <c r="H121" s="111">
        <f t="shared" si="54"/>
        <v>18576.480000000003</v>
      </c>
      <c r="I121" s="111"/>
      <c r="K121" s="55"/>
      <c r="AC121" s="46"/>
      <c r="AD121" s="46"/>
    </row>
    <row r="122" spans="1:30" x14ac:dyDescent="0.25">
      <c r="A122" s="41"/>
      <c r="B122" s="42"/>
      <c r="C122" s="111" t="str">
        <f>_xlfn.IFNA(_xlfn.IFNA(VLOOKUP(B122,Withd,2,FALSE),VLOOKUP(B122,income,2,FALSE)),"")</f>
        <v/>
      </c>
      <c r="E122" s="43">
        <f t="shared" si="30"/>
        <v>6</v>
      </c>
      <c r="F122" s="41">
        <f t="shared" si="56"/>
        <v>45709</v>
      </c>
      <c r="G122" s="44" t="str">
        <f t="shared" si="55"/>
        <v>Paycheck</v>
      </c>
      <c r="H122" s="111">
        <f t="shared" si="54"/>
        <v>21489.040000000005</v>
      </c>
      <c r="I122" s="111"/>
      <c r="K122" s="55"/>
      <c r="AC122" s="46"/>
      <c r="AD122" s="46"/>
    </row>
    <row r="123" spans="1:30" x14ac:dyDescent="0.25">
      <c r="A123" s="50"/>
      <c r="B123" s="82"/>
      <c r="C123" s="111" t="str">
        <f>_xlfn.IFNA(_xlfn.IFNA(VLOOKUP(B123,Withd,2,FALSE),VLOOKUP(B123,income,2,FALSE)),"")</f>
        <v/>
      </c>
      <c r="E123" s="43">
        <f t="shared" si="30"/>
        <v>7</v>
      </c>
      <c r="F123" s="41">
        <f t="shared" si="56"/>
        <v>45710</v>
      </c>
      <c r="G123" s="44" t="str">
        <f t="shared" si="55"/>
        <v/>
      </c>
      <c r="H123" s="111">
        <f t="shared" si="54"/>
        <v>21489.040000000005</v>
      </c>
      <c r="I123" s="111"/>
      <c r="AC123" s="46"/>
      <c r="AD123" s="46"/>
    </row>
    <row r="124" spans="1:30" ht="15.75" thickBot="1" x14ac:dyDescent="0.3">
      <c r="A124" s="50"/>
      <c r="B124" s="48"/>
      <c r="C124" s="111" t="str">
        <f>_xlfn.IFNA(_xlfn.IFNA(VLOOKUP(B124,Withd,2,FALSE),VLOOKUP(B124,income,2,FALSE)),"")</f>
        <v/>
      </c>
      <c r="E124" s="43">
        <f t="shared" si="30"/>
        <v>1</v>
      </c>
      <c r="F124" s="41">
        <f t="shared" si="56"/>
        <v>45711</v>
      </c>
      <c r="G124" s="44" t="str">
        <f t="shared" si="55"/>
        <v/>
      </c>
      <c r="H124" s="111">
        <f t="shared" si="54"/>
        <v>21489.040000000005</v>
      </c>
      <c r="I124" s="111"/>
      <c r="AC124" s="46"/>
      <c r="AD124" s="46"/>
    </row>
    <row r="125" spans="1:30" x14ac:dyDescent="0.25">
      <c r="A125" s="50"/>
      <c r="B125" s="51"/>
      <c r="C125" s="111" t="str">
        <f>_xlfn.IFNA(_xlfn.IFNA(VLOOKUP(B125,Withd,2,FALSE),VLOOKUP(B125,income,2,FALSE)),"")</f>
        <v/>
      </c>
      <c r="E125" s="43">
        <f t="shared" si="30"/>
        <v>2</v>
      </c>
      <c r="F125" s="41">
        <f t="shared" si="56"/>
        <v>45712</v>
      </c>
      <c r="G125" s="44" t="str">
        <f t="shared" si="55"/>
        <v>Clean</v>
      </c>
      <c r="H125" s="111">
        <f t="shared" si="54"/>
        <v>21379.040000000005</v>
      </c>
      <c r="I125" s="111"/>
      <c r="J125" s="82" t="s">
        <v>57</v>
      </c>
      <c r="K125" s="58">
        <v>45536</v>
      </c>
      <c r="L125" s="59">
        <f>K125+1</f>
        <v>45537</v>
      </c>
      <c r="M125" s="59">
        <f t="shared" ref="M125:Q125" si="57">L125+1</f>
        <v>45538</v>
      </c>
      <c r="N125" s="59">
        <f t="shared" si="57"/>
        <v>45539</v>
      </c>
      <c r="O125" s="59">
        <f t="shared" si="57"/>
        <v>45540</v>
      </c>
      <c r="P125" s="91">
        <f t="shared" si="57"/>
        <v>45541</v>
      </c>
      <c r="Q125" s="92">
        <f t="shared" si="57"/>
        <v>45542</v>
      </c>
      <c r="R125" s="82"/>
      <c r="AC125" s="46"/>
      <c r="AD125" s="46"/>
    </row>
    <row r="126" spans="1:30" x14ac:dyDescent="0.25">
      <c r="A126" s="41"/>
      <c r="B126" s="51"/>
      <c r="C126" s="111" t="str">
        <f>_xlfn.IFNA(_xlfn.IFNA(VLOOKUP(B126,Withd,2,FALSE),VLOOKUP(B126,income,2,FALSE)),"")</f>
        <v/>
      </c>
      <c r="E126" s="43">
        <f t="shared" si="30"/>
        <v>3</v>
      </c>
      <c r="F126" s="41">
        <f t="shared" si="56"/>
        <v>45713</v>
      </c>
      <c r="G126" s="44" t="str">
        <f t="shared" si="55"/>
        <v/>
      </c>
      <c r="H126" s="111">
        <f t="shared" si="54"/>
        <v>21379.040000000005</v>
      </c>
      <c r="I126" s="111"/>
      <c r="J126" s="82"/>
      <c r="K126" s="63">
        <f>K125+7</f>
        <v>45543</v>
      </c>
      <c r="L126" s="65">
        <f t="shared" ref="L126:Q126" si="58">L125+7</f>
        <v>45544</v>
      </c>
      <c r="M126" s="65">
        <f t="shared" si="58"/>
        <v>45545</v>
      </c>
      <c r="N126" s="65">
        <f t="shared" si="58"/>
        <v>45546</v>
      </c>
      <c r="O126" s="65">
        <f t="shared" si="58"/>
        <v>45547</v>
      </c>
      <c r="P126" s="65">
        <f t="shared" si="58"/>
        <v>45548</v>
      </c>
      <c r="Q126" s="88">
        <f t="shared" si="58"/>
        <v>45549</v>
      </c>
      <c r="R126" s="82"/>
      <c r="AC126" s="46"/>
      <c r="AD126" s="46"/>
    </row>
    <row r="127" spans="1:30" x14ac:dyDescent="0.25">
      <c r="A127" s="41"/>
      <c r="B127" s="51"/>
      <c r="C127" s="111" t="str">
        <f>_xlfn.IFNA(_xlfn.IFNA(VLOOKUP(B127,Withd,2,FALSE),VLOOKUP(B127,income,2,FALSE)),"")</f>
        <v/>
      </c>
      <c r="E127" s="43">
        <f t="shared" si="30"/>
        <v>4</v>
      </c>
      <c r="F127" s="41">
        <f t="shared" si="56"/>
        <v>45714</v>
      </c>
      <c r="G127" s="44" t="str">
        <f t="shared" si="55"/>
        <v>IIS</v>
      </c>
      <c r="H127" s="111">
        <f t="shared" si="54"/>
        <v>22606.040000000005</v>
      </c>
      <c r="I127" s="111"/>
      <c r="J127" s="82"/>
      <c r="K127" s="63">
        <f t="shared" ref="K127:K158" si="59">K126+7</f>
        <v>45550</v>
      </c>
      <c r="L127" s="94">
        <f t="shared" ref="L127:L158" si="60">L126+7</f>
        <v>45551</v>
      </c>
      <c r="M127" s="65">
        <f t="shared" ref="M127:M158" si="61">M126+7</f>
        <v>45552</v>
      </c>
      <c r="N127" s="65">
        <f t="shared" ref="N127:N158" si="62">N126+7</f>
        <v>45553</v>
      </c>
      <c r="O127" s="65">
        <f t="shared" ref="O127:O158" si="63">O126+7</f>
        <v>45554</v>
      </c>
      <c r="P127" s="95">
        <f t="shared" ref="P127:P158" si="64">P126+7</f>
        <v>45555</v>
      </c>
      <c r="Q127" s="88">
        <f t="shared" ref="Q127:Q158" si="65">Q126+7</f>
        <v>45556</v>
      </c>
      <c r="R127" s="82"/>
      <c r="AC127" s="46"/>
      <c r="AD127" s="46"/>
    </row>
    <row r="128" spans="1:30" ht="15.75" thickBot="1" x14ac:dyDescent="0.3">
      <c r="A128" s="41"/>
      <c r="B128" s="51"/>
      <c r="C128" s="111" t="str">
        <f>_xlfn.IFNA(_xlfn.IFNA(VLOOKUP(B128,Withd,2,FALSE),VLOOKUP(B128,income,2,FALSE)),"")</f>
        <v/>
      </c>
      <c r="E128" s="43">
        <f t="shared" si="30"/>
        <v>5</v>
      </c>
      <c r="F128" s="41">
        <f t="shared" si="56"/>
        <v>45715</v>
      </c>
      <c r="G128" s="44" t="str">
        <f t="shared" si="55"/>
        <v/>
      </c>
      <c r="H128" s="111">
        <f t="shared" si="54"/>
        <v>22606.040000000005</v>
      </c>
      <c r="I128" s="111"/>
      <c r="J128" s="82"/>
      <c r="K128" s="71">
        <f t="shared" si="59"/>
        <v>45557</v>
      </c>
      <c r="L128" s="68">
        <f t="shared" si="60"/>
        <v>45558</v>
      </c>
      <c r="M128" s="68">
        <f t="shared" si="61"/>
        <v>45559</v>
      </c>
      <c r="N128" s="68">
        <f t="shared" si="62"/>
        <v>45560</v>
      </c>
      <c r="O128" s="68">
        <f t="shared" si="63"/>
        <v>45561</v>
      </c>
      <c r="P128" s="68">
        <f t="shared" si="64"/>
        <v>45562</v>
      </c>
      <c r="Q128" s="89">
        <f t="shared" si="65"/>
        <v>45563</v>
      </c>
      <c r="R128" s="82"/>
      <c r="AC128" s="46"/>
      <c r="AD128" s="46"/>
    </row>
    <row r="129" spans="1:30" x14ac:dyDescent="0.25">
      <c r="A129" s="41"/>
      <c r="B129" s="42"/>
      <c r="C129" s="111" t="str">
        <f>_xlfn.IFNA(_xlfn.IFNA(VLOOKUP(B129,Withd,2,FALSE),VLOOKUP(B129,income,2,FALSE)),"")</f>
        <v/>
      </c>
      <c r="E129" s="43">
        <f t="shared" si="30"/>
        <v>6</v>
      </c>
      <c r="F129" s="41">
        <f t="shared" si="56"/>
        <v>45716</v>
      </c>
      <c r="G129" s="44" t="str">
        <f t="shared" si="55"/>
        <v>Gas, Power</v>
      </c>
      <c r="H129" s="111">
        <f t="shared" si="54"/>
        <v>22466.040000000005</v>
      </c>
      <c r="I129" s="111"/>
      <c r="J129" s="82" t="s">
        <v>58</v>
      </c>
      <c r="K129" s="58">
        <f t="shared" si="59"/>
        <v>45564</v>
      </c>
      <c r="L129" s="60">
        <f t="shared" si="60"/>
        <v>45565</v>
      </c>
      <c r="M129" s="60">
        <f t="shared" si="61"/>
        <v>45566</v>
      </c>
      <c r="N129" s="60">
        <f t="shared" si="62"/>
        <v>45567</v>
      </c>
      <c r="O129" s="60">
        <f t="shared" si="63"/>
        <v>45568</v>
      </c>
      <c r="P129" s="96">
        <f t="shared" si="64"/>
        <v>45569</v>
      </c>
      <c r="Q129" s="97">
        <f t="shared" si="65"/>
        <v>45570</v>
      </c>
      <c r="R129" s="82"/>
      <c r="AC129" s="46"/>
      <c r="AD129" s="46"/>
    </row>
    <row r="130" spans="1:30" x14ac:dyDescent="0.25">
      <c r="A130" s="49"/>
      <c r="B130" s="93"/>
      <c r="C130" s="111" t="str">
        <f>_xlfn.IFNA(_xlfn.IFNA(VLOOKUP(B130,Withd,2,FALSE),VLOOKUP(B130,income,2,FALSE)),"")</f>
        <v/>
      </c>
      <c r="E130" s="43">
        <f t="shared" si="30"/>
        <v>7</v>
      </c>
      <c r="F130" s="41">
        <f t="shared" si="56"/>
        <v>45717</v>
      </c>
      <c r="G130" s="44" t="str">
        <f t="shared" si="55"/>
        <v>Rent</v>
      </c>
      <c r="H130" s="111">
        <f t="shared" si="54"/>
        <v>21416.040000000005</v>
      </c>
      <c r="I130" s="111"/>
      <c r="J130" s="82"/>
      <c r="K130" s="63">
        <f t="shared" si="59"/>
        <v>45571</v>
      </c>
      <c r="L130" s="94">
        <f t="shared" si="60"/>
        <v>45572</v>
      </c>
      <c r="M130" s="65">
        <f t="shared" si="61"/>
        <v>45573</v>
      </c>
      <c r="N130" s="65">
        <f t="shared" si="62"/>
        <v>45574</v>
      </c>
      <c r="O130" s="65">
        <f t="shared" si="63"/>
        <v>45575</v>
      </c>
      <c r="P130" s="65">
        <f t="shared" si="64"/>
        <v>45576</v>
      </c>
      <c r="Q130" s="88">
        <f t="shared" si="65"/>
        <v>45577</v>
      </c>
      <c r="R130" s="82"/>
      <c r="AC130" s="46"/>
      <c r="AD130" s="46"/>
    </row>
    <row r="131" spans="1:30" x14ac:dyDescent="0.25">
      <c r="A131" s="41"/>
      <c r="B131" s="67"/>
      <c r="C131" s="111" t="str">
        <f>_xlfn.IFNA(_xlfn.IFNA(VLOOKUP(B131,Withd,2,FALSE),VLOOKUP(B131,income,2,FALSE)),"")</f>
        <v/>
      </c>
      <c r="E131" s="43">
        <f t="shared" si="30"/>
        <v>1</v>
      </c>
      <c r="F131" s="41">
        <f t="shared" si="56"/>
        <v>45718</v>
      </c>
      <c r="G131" s="44" t="str">
        <f t="shared" si="55"/>
        <v/>
      </c>
      <c r="H131" s="111">
        <f t="shared" si="54"/>
        <v>21416.040000000005</v>
      </c>
      <c r="I131" s="111"/>
      <c r="J131" s="82"/>
      <c r="K131" s="63">
        <f t="shared" si="59"/>
        <v>45578</v>
      </c>
      <c r="L131" s="65">
        <f t="shared" si="60"/>
        <v>45579</v>
      </c>
      <c r="M131" s="65">
        <f t="shared" si="61"/>
        <v>45580</v>
      </c>
      <c r="N131" s="65">
        <f t="shared" si="62"/>
        <v>45581</v>
      </c>
      <c r="O131" s="65">
        <f t="shared" si="63"/>
        <v>45582</v>
      </c>
      <c r="P131" s="95">
        <f t="shared" si="64"/>
        <v>45583</v>
      </c>
      <c r="Q131" s="88">
        <f t="shared" si="65"/>
        <v>45584</v>
      </c>
      <c r="R131" s="82"/>
      <c r="AC131" s="46"/>
      <c r="AD131" s="46"/>
    </row>
    <row r="132" spans="1:30" ht="15.75" thickBot="1" x14ac:dyDescent="0.3">
      <c r="A132" s="41"/>
      <c r="B132" s="42"/>
      <c r="C132" s="111" t="str">
        <f>_xlfn.IFNA(_xlfn.IFNA(VLOOKUP(B132,Withd,2,FALSE),VLOOKUP(B132,income,2,FALSE)),"")</f>
        <v/>
      </c>
      <c r="E132" s="43">
        <f t="shared" si="30"/>
        <v>2</v>
      </c>
      <c r="F132" s="41">
        <f t="shared" si="56"/>
        <v>45719</v>
      </c>
      <c r="G132" s="44" t="str">
        <f t="shared" si="55"/>
        <v/>
      </c>
      <c r="H132" s="111">
        <f t="shared" ref="H132:H163" si="66">H131+SUMIF(Dates,F132,TAMTS)</f>
        <v>21416.040000000005</v>
      </c>
      <c r="I132" s="111"/>
      <c r="J132" s="82"/>
      <c r="K132" s="71">
        <f t="shared" si="59"/>
        <v>45585</v>
      </c>
      <c r="L132" s="98">
        <f t="shared" si="60"/>
        <v>45586</v>
      </c>
      <c r="M132" s="68">
        <f t="shared" si="61"/>
        <v>45587</v>
      </c>
      <c r="N132" s="68">
        <f t="shared" si="62"/>
        <v>45588</v>
      </c>
      <c r="O132" s="68">
        <f t="shared" si="63"/>
        <v>45589</v>
      </c>
      <c r="P132" s="68">
        <f t="shared" si="64"/>
        <v>45590</v>
      </c>
      <c r="Q132" s="89">
        <f t="shared" si="65"/>
        <v>45591</v>
      </c>
      <c r="R132" s="82"/>
      <c r="AC132" s="46"/>
      <c r="AD132" s="46"/>
    </row>
    <row r="133" spans="1:30" x14ac:dyDescent="0.25">
      <c r="A133" s="41"/>
      <c r="C133" s="111" t="str">
        <f>_xlfn.IFNA(_xlfn.IFNA(VLOOKUP(B133,Withd,2,FALSE),VLOOKUP(B133,income,2,FALSE)),"")</f>
        <v/>
      </c>
      <c r="E133" s="43">
        <f t="shared" ref="E133:E190" si="67">WEEKDAY(F133)</f>
        <v>3</v>
      </c>
      <c r="F133" s="41">
        <f t="shared" si="56"/>
        <v>45720</v>
      </c>
      <c r="G133" s="44" t="str">
        <f t="shared" si="55"/>
        <v/>
      </c>
      <c r="H133" s="111">
        <f t="shared" si="66"/>
        <v>21416.040000000005</v>
      </c>
      <c r="I133" s="111"/>
      <c r="J133" s="82" t="s">
        <v>59</v>
      </c>
      <c r="K133" s="58">
        <f t="shared" si="59"/>
        <v>45592</v>
      </c>
      <c r="L133" s="60">
        <f t="shared" si="60"/>
        <v>45593</v>
      </c>
      <c r="M133" s="60">
        <f t="shared" si="61"/>
        <v>45594</v>
      </c>
      <c r="N133" s="60">
        <f t="shared" si="62"/>
        <v>45595</v>
      </c>
      <c r="O133" s="60">
        <f t="shared" si="63"/>
        <v>45596</v>
      </c>
      <c r="P133" s="96">
        <f t="shared" si="64"/>
        <v>45597</v>
      </c>
      <c r="Q133" s="97">
        <f t="shared" si="65"/>
        <v>45598</v>
      </c>
      <c r="R133" s="82"/>
      <c r="AC133" s="46"/>
      <c r="AD133" s="46"/>
    </row>
    <row r="134" spans="1:30" x14ac:dyDescent="0.25">
      <c r="A134" s="41"/>
      <c r="C134" s="111" t="str">
        <f>_xlfn.IFNA(_xlfn.IFNA(VLOOKUP(B134,Withd,2,FALSE),VLOOKUP(B134,income,2,FALSE)),"")</f>
        <v/>
      </c>
      <c r="E134" s="43">
        <f t="shared" si="67"/>
        <v>4</v>
      </c>
      <c r="F134" s="41">
        <f t="shared" si="56"/>
        <v>45721</v>
      </c>
      <c r="G134" s="44" t="str">
        <f t="shared" si="55"/>
        <v/>
      </c>
      <c r="H134" s="111">
        <f t="shared" si="66"/>
        <v>21416.040000000005</v>
      </c>
      <c r="I134" s="111"/>
      <c r="J134" s="82"/>
      <c r="K134" s="63">
        <f t="shared" si="59"/>
        <v>45599</v>
      </c>
      <c r="L134" s="94">
        <f t="shared" si="60"/>
        <v>45600</v>
      </c>
      <c r="M134" s="65">
        <f t="shared" si="61"/>
        <v>45601</v>
      </c>
      <c r="N134" s="65">
        <f t="shared" si="62"/>
        <v>45602</v>
      </c>
      <c r="O134" s="65">
        <f t="shared" si="63"/>
        <v>45603</v>
      </c>
      <c r="P134" s="65">
        <f t="shared" si="64"/>
        <v>45604</v>
      </c>
      <c r="Q134" s="88">
        <f t="shared" si="65"/>
        <v>45605</v>
      </c>
      <c r="R134" s="82"/>
      <c r="AC134" s="46"/>
      <c r="AD134" s="46"/>
    </row>
    <row r="135" spans="1:30" x14ac:dyDescent="0.25">
      <c r="A135" s="41"/>
      <c r="C135" s="111" t="str">
        <f>_xlfn.IFNA(_xlfn.IFNA(VLOOKUP(B135,Withd,2,FALSE),VLOOKUP(B135,income,2,FALSE)),"")</f>
        <v/>
      </c>
      <c r="E135" s="43">
        <f t="shared" si="67"/>
        <v>5</v>
      </c>
      <c r="F135" s="41">
        <f t="shared" si="56"/>
        <v>45722</v>
      </c>
      <c r="G135" s="44" t="str">
        <f t="shared" si="55"/>
        <v/>
      </c>
      <c r="H135" s="111">
        <f t="shared" si="66"/>
        <v>21416.040000000005</v>
      </c>
      <c r="I135" s="111"/>
      <c r="J135" s="82"/>
      <c r="K135" s="63">
        <f t="shared" si="59"/>
        <v>45606</v>
      </c>
      <c r="L135" s="65">
        <f t="shared" si="60"/>
        <v>45607</v>
      </c>
      <c r="M135" s="65">
        <f t="shared" si="61"/>
        <v>45608</v>
      </c>
      <c r="N135" s="65">
        <f t="shared" si="62"/>
        <v>45609</v>
      </c>
      <c r="O135" s="65">
        <f t="shared" si="63"/>
        <v>45610</v>
      </c>
      <c r="P135" s="95">
        <f t="shared" si="64"/>
        <v>45611</v>
      </c>
      <c r="Q135" s="88">
        <f t="shared" si="65"/>
        <v>45612</v>
      </c>
      <c r="R135" s="82"/>
      <c r="AC135" s="46"/>
      <c r="AD135" s="46"/>
    </row>
    <row r="136" spans="1:30" x14ac:dyDescent="0.25">
      <c r="A136" s="41"/>
      <c r="C136" s="111" t="str">
        <f>_xlfn.IFNA(_xlfn.IFNA(VLOOKUP(B136,Withd,2,FALSE),VLOOKUP(B136,income,2,FALSE)),"")</f>
        <v/>
      </c>
      <c r="E136" s="43">
        <f t="shared" si="67"/>
        <v>6</v>
      </c>
      <c r="F136" s="41">
        <f t="shared" si="56"/>
        <v>45723</v>
      </c>
      <c r="G136" s="44" t="str">
        <f t="shared" si="55"/>
        <v>Tmobile, Paycheck</v>
      </c>
      <c r="H136" s="111">
        <f t="shared" si="66"/>
        <v>24058.600000000006</v>
      </c>
      <c r="I136" s="111"/>
      <c r="J136" s="82"/>
      <c r="K136" s="63">
        <f t="shared" si="59"/>
        <v>45613</v>
      </c>
      <c r="L136" s="94">
        <f t="shared" si="60"/>
        <v>45614</v>
      </c>
      <c r="M136" s="65">
        <f t="shared" si="61"/>
        <v>45615</v>
      </c>
      <c r="N136" s="65">
        <f t="shared" si="62"/>
        <v>45616</v>
      </c>
      <c r="O136" s="65">
        <f t="shared" si="63"/>
        <v>45617</v>
      </c>
      <c r="P136" s="65">
        <f t="shared" si="64"/>
        <v>45618</v>
      </c>
      <c r="Q136" s="88">
        <f t="shared" si="65"/>
        <v>45619</v>
      </c>
      <c r="R136" s="82"/>
      <c r="AC136" s="46"/>
      <c r="AD136" s="46"/>
    </row>
    <row r="137" spans="1:30" ht="15.75" thickBot="1" x14ac:dyDescent="0.3">
      <c r="A137" s="41"/>
      <c r="C137" s="111" t="str">
        <f>_xlfn.IFNA(_xlfn.IFNA(VLOOKUP(B137,Withd,2,FALSE),VLOOKUP(B137,income,2,FALSE)),"")</f>
        <v/>
      </c>
      <c r="E137" s="43">
        <f t="shared" si="67"/>
        <v>7</v>
      </c>
      <c r="F137" s="41">
        <f t="shared" si="56"/>
        <v>45724</v>
      </c>
      <c r="G137" s="44" t="str">
        <f t="shared" si="55"/>
        <v/>
      </c>
      <c r="H137" s="111">
        <f t="shared" si="66"/>
        <v>24058.600000000006</v>
      </c>
      <c r="I137" s="111"/>
      <c r="J137" s="82"/>
      <c r="K137" s="71">
        <f t="shared" si="59"/>
        <v>45620</v>
      </c>
      <c r="L137" s="68">
        <f t="shared" si="60"/>
        <v>45621</v>
      </c>
      <c r="M137" s="68">
        <f t="shared" si="61"/>
        <v>45622</v>
      </c>
      <c r="N137" s="68">
        <f t="shared" si="62"/>
        <v>45623</v>
      </c>
      <c r="O137" s="68">
        <f t="shared" si="63"/>
        <v>45624</v>
      </c>
      <c r="P137" s="99">
        <f t="shared" si="64"/>
        <v>45625</v>
      </c>
      <c r="Q137" s="89">
        <f t="shared" si="65"/>
        <v>45626</v>
      </c>
      <c r="R137" s="82"/>
      <c r="AC137" s="46"/>
      <c r="AD137" s="46"/>
    </row>
    <row r="138" spans="1:30" x14ac:dyDescent="0.25">
      <c r="A138" s="41"/>
      <c r="C138" s="111" t="str">
        <f>_xlfn.IFNA(_xlfn.IFNA(VLOOKUP(B138,Withd,2,FALSE),VLOOKUP(B138,income,2,FALSE)),"")</f>
        <v/>
      </c>
      <c r="E138" s="43">
        <f t="shared" si="67"/>
        <v>1</v>
      </c>
      <c r="F138" s="41">
        <f t="shared" si="56"/>
        <v>45725</v>
      </c>
      <c r="G138" s="44" t="str">
        <f t="shared" si="55"/>
        <v/>
      </c>
      <c r="H138" s="111">
        <f t="shared" si="66"/>
        <v>24058.600000000006</v>
      </c>
      <c r="I138" s="111"/>
      <c r="J138" s="82" t="s">
        <v>60</v>
      </c>
      <c r="K138" s="58">
        <f t="shared" si="59"/>
        <v>45627</v>
      </c>
      <c r="L138" s="100">
        <f t="shared" si="60"/>
        <v>45628</v>
      </c>
      <c r="M138" s="60">
        <f t="shared" si="61"/>
        <v>45629</v>
      </c>
      <c r="N138" s="60">
        <f t="shared" si="62"/>
        <v>45630</v>
      </c>
      <c r="O138" s="60">
        <f t="shared" si="63"/>
        <v>45631</v>
      </c>
      <c r="P138" s="60">
        <f t="shared" si="64"/>
        <v>45632</v>
      </c>
      <c r="Q138" s="97">
        <f t="shared" si="65"/>
        <v>45633</v>
      </c>
      <c r="R138" s="82"/>
      <c r="AC138" s="46"/>
      <c r="AD138" s="46"/>
    </row>
    <row r="139" spans="1:30" x14ac:dyDescent="0.25">
      <c r="A139" s="41"/>
      <c r="C139" s="111" t="str">
        <f>_xlfn.IFNA(_xlfn.IFNA(VLOOKUP(B139,Withd,2,FALSE),VLOOKUP(B139,income,2,FALSE)),"")</f>
        <v/>
      </c>
      <c r="E139" s="43">
        <f t="shared" si="67"/>
        <v>2</v>
      </c>
      <c r="F139" s="41">
        <f t="shared" si="56"/>
        <v>45726</v>
      </c>
      <c r="G139" s="44" t="str">
        <f t="shared" si="55"/>
        <v>Water, Sewer, City, Amazon, Clean</v>
      </c>
      <c r="H139" s="111">
        <f t="shared" si="66"/>
        <v>23672.600000000006</v>
      </c>
      <c r="I139" s="111"/>
      <c r="J139" s="82"/>
      <c r="K139" s="63">
        <f t="shared" si="59"/>
        <v>45634</v>
      </c>
      <c r="L139" s="65">
        <f t="shared" si="60"/>
        <v>45635</v>
      </c>
      <c r="M139" s="65">
        <f t="shared" si="61"/>
        <v>45636</v>
      </c>
      <c r="N139" s="65">
        <f t="shared" si="62"/>
        <v>45637</v>
      </c>
      <c r="O139" s="65">
        <f t="shared" si="63"/>
        <v>45638</v>
      </c>
      <c r="P139" s="95">
        <f t="shared" si="64"/>
        <v>45639</v>
      </c>
      <c r="Q139" s="88">
        <f t="shared" si="65"/>
        <v>45640</v>
      </c>
      <c r="R139" s="82"/>
      <c r="AC139" s="46"/>
      <c r="AD139" s="46"/>
    </row>
    <row r="140" spans="1:30" x14ac:dyDescent="0.25">
      <c r="A140" s="41"/>
      <c r="C140" s="111" t="str">
        <f>_xlfn.IFNA(_xlfn.IFNA(VLOOKUP(B140,Withd,2,FALSE),VLOOKUP(B140,income,2,FALSE)),"")</f>
        <v/>
      </c>
      <c r="E140" s="43">
        <f t="shared" si="67"/>
        <v>3</v>
      </c>
      <c r="F140" s="41">
        <f t="shared" si="56"/>
        <v>45727</v>
      </c>
      <c r="G140" s="44" t="str">
        <f t="shared" ref="G140" si="68">LookUpConcat(F140,Dates,TDesc,", ")</f>
        <v/>
      </c>
      <c r="H140" s="111">
        <f t="shared" si="66"/>
        <v>23672.600000000006</v>
      </c>
      <c r="I140" s="111"/>
      <c r="J140" s="82"/>
      <c r="K140" s="63">
        <f t="shared" si="59"/>
        <v>45641</v>
      </c>
      <c r="L140" s="94">
        <f t="shared" si="60"/>
        <v>45642</v>
      </c>
      <c r="M140" s="65">
        <f t="shared" si="61"/>
        <v>45643</v>
      </c>
      <c r="N140" s="65">
        <f t="shared" si="62"/>
        <v>45644</v>
      </c>
      <c r="O140" s="65">
        <f t="shared" si="63"/>
        <v>45645</v>
      </c>
      <c r="P140" s="65">
        <f t="shared" si="64"/>
        <v>45646</v>
      </c>
      <c r="Q140" s="88">
        <f t="shared" si="65"/>
        <v>45647</v>
      </c>
      <c r="R140" s="82"/>
      <c r="AC140" s="46"/>
      <c r="AD140" s="46"/>
    </row>
    <row r="141" spans="1:30" ht="15.75" thickBot="1" x14ac:dyDescent="0.3">
      <c r="A141" s="41"/>
      <c r="C141" s="111" t="str">
        <f>_xlfn.IFNA(_xlfn.IFNA(VLOOKUP(B141,Withd,2,FALSE),VLOOKUP(B141,income,2,FALSE)),"")</f>
        <v/>
      </c>
      <c r="E141" s="43">
        <f t="shared" si="67"/>
        <v>4</v>
      </c>
      <c r="F141" s="41">
        <f t="shared" si="56"/>
        <v>45728</v>
      </c>
      <c r="G141" s="44" t="str">
        <f t="shared" ref="G141:G153" si="69">LookUpConcat(F141,Dates,TDesc,", ")</f>
        <v>Car</v>
      </c>
      <c r="H141" s="111">
        <f t="shared" si="66"/>
        <v>23197.600000000006</v>
      </c>
      <c r="I141" s="111"/>
      <c r="J141" s="82"/>
      <c r="K141" s="71">
        <f t="shared" si="59"/>
        <v>45648</v>
      </c>
      <c r="L141" s="68">
        <f t="shared" si="60"/>
        <v>45649</v>
      </c>
      <c r="M141" s="68">
        <f t="shared" si="61"/>
        <v>45650</v>
      </c>
      <c r="N141" s="68">
        <f t="shared" si="62"/>
        <v>45651</v>
      </c>
      <c r="O141" s="68">
        <f t="shared" si="63"/>
        <v>45652</v>
      </c>
      <c r="P141" s="99">
        <f t="shared" si="64"/>
        <v>45653</v>
      </c>
      <c r="Q141" s="89">
        <f t="shared" si="65"/>
        <v>45654</v>
      </c>
      <c r="R141" s="82"/>
      <c r="AC141" s="46"/>
      <c r="AD141" s="46"/>
    </row>
    <row r="142" spans="1:30" x14ac:dyDescent="0.25">
      <c r="A142" s="50"/>
      <c r="B142" s="51"/>
      <c r="C142" s="116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45729</v>
      </c>
      <c r="G142" s="44" t="str">
        <f t="shared" si="69"/>
        <v>Paypal</v>
      </c>
      <c r="H142" s="111">
        <f t="shared" si="66"/>
        <v>22267.600000000006</v>
      </c>
      <c r="I142" s="111"/>
      <c r="J142" s="65" t="s">
        <v>61</v>
      </c>
      <c r="K142" s="58">
        <f t="shared" si="59"/>
        <v>45655</v>
      </c>
      <c r="L142" s="100">
        <f t="shared" si="60"/>
        <v>45656</v>
      </c>
      <c r="M142" s="60">
        <f t="shared" si="61"/>
        <v>45657</v>
      </c>
      <c r="N142" s="60">
        <f t="shared" si="62"/>
        <v>45658</v>
      </c>
      <c r="O142" s="60">
        <f t="shared" si="63"/>
        <v>45659</v>
      </c>
      <c r="P142" s="60">
        <f t="shared" si="64"/>
        <v>45660</v>
      </c>
      <c r="Q142" s="97">
        <f t="shared" si="65"/>
        <v>45661</v>
      </c>
      <c r="R142" s="82"/>
      <c r="AC142" s="46"/>
      <c r="AD142" s="46"/>
    </row>
    <row r="143" spans="1:30" x14ac:dyDescent="0.25">
      <c r="A143" s="41"/>
      <c r="B143" s="42"/>
      <c r="C143" s="111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45730</v>
      </c>
      <c r="G143" s="44" t="str">
        <f t="shared" si="69"/>
        <v>StateFarm</v>
      </c>
      <c r="H143" s="111">
        <f t="shared" si="66"/>
        <v>22162.600000000006</v>
      </c>
      <c r="I143" s="111"/>
      <c r="J143" s="65"/>
      <c r="K143" s="63">
        <f t="shared" si="59"/>
        <v>45662</v>
      </c>
      <c r="L143" s="65">
        <f t="shared" si="60"/>
        <v>45663</v>
      </c>
      <c r="M143" s="65">
        <f t="shared" si="61"/>
        <v>45664</v>
      </c>
      <c r="N143" s="65">
        <f t="shared" si="62"/>
        <v>45665</v>
      </c>
      <c r="O143" s="65">
        <f t="shared" si="63"/>
        <v>45666</v>
      </c>
      <c r="P143" s="95">
        <f t="shared" si="64"/>
        <v>45667</v>
      </c>
      <c r="Q143" s="88">
        <f t="shared" si="65"/>
        <v>45668</v>
      </c>
      <c r="R143" s="82"/>
      <c r="AC143" s="46"/>
      <c r="AD143" s="46"/>
    </row>
    <row r="144" spans="1:30" x14ac:dyDescent="0.25">
      <c r="A144" s="41"/>
      <c r="B144" s="42"/>
      <c r="C144" s="111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45731</v>
      </c>
      <c r="G144" s="44" t="str">
        <f t="shared" si="69"/>
        <v>NWM/IRA</v>
      </c>
      <c r="H144" s="111">
        <f t="shared" si="66"/>
        <v>21222.600000000006</v>
      </c>
      <c r="I144" s="111"/>
      <c r="J144" s="65"/>
      <c r="K144" s="63">
        <f t="shared" si="59"/>
        <v>45669</v>
      </c>
      <c r="L144" s="94">
        <f t="shared" si="60"/>
        <v>45670</v>
      </c>
      <c r="M144" s="65">
        <f t="shared" si="61"/>
        <v>45671</v>
      </c>
      <c r="N144" s="65">
        <f t="shared" si="62"/>
        <v>45672</v>
      </c>
      <c r="O144" s="65">
        <f t="shared" si="63"/>
        <v>45673</v>
      </c>
      <c r="P144" s="65">
        <f t="shared" si="64"/>
        <v>45674</v>
      </c>
      <c r="Q144" s="88">
        <f t="shared" si="65"/>
        <v>45675</v>
      </c>
      <c r="R144" s="82"/>
      <c r="AC144" s="46"/>
      <c r="AD144" s="46"/>
    </row>
    <row r="145" spans="1:30" x14ac:dyDescent="0.25">
      <c r="A145" s="41"/>
      <c r="B145" s="42"/>
      <c r="C145" s="111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45732</v>
      </c>
      <c r="G145" s="44" t="str">
        <f t="shared" si="69"/>
        <v/>
      </c>
      <c r="H145" s="111">
        <f t="shared" si="66"/>
        <v>21222.600000000006</v>
      </c>
      <c r="I145" s="111"/>
      <c r="J145" s="65"/>
      <c r="K145" s="63">
        <f t="shared" si="59"/>
        <v>45676</v>
      </c>
      <c r="L145" s="65">
        <f t="shared" si="60"/>
        <v>45677</v>
      </c>
      <c r="M145" s="65">
        <f t="shared" si="61"/>
        <v>45678</v>
      </c>
      <c r="N145" s="65">
        <f t="shared" si="62"/>
        <v>45679</v>
      </c>
      <c r="O145" s="65">
        <f t="shared" si="63"/>
        <v>45680</v>
      </c>
      <c r="P145" s="95">
        <f t="shared" si="64"/>
        <v>45681</v>
      </c>
      <c r="Q145" s="88">
        <f t="shared" si="65"/>
        <v>45682</v>
      </c>
      <c r="R145" s="82"/>
      <c r="AC145" s="46"/>
      <c r="AD145" s="46"/>
    </row>
    <row r="146" spans="1:30" ht="15.75" thickBot="1" x14ac:dyDescent="0.3">
      <c r="A146" s="70"/>
      <c r="B146" s="73"/>
      <c r="C146" s="111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45733</v>
      </c>
      <c r="G146" s="44" t="str">
        <f t="shared" si="69"/>
        <v>Fuel</v>
      </c>
      <c r="H146" s="111">
        <f t="shared" si="66"/>
        <v>21162.600000000006</v>
      </c>
      <c r="I146" s="111"/>
      <c r="J146" s="65"/>
      <c r="K146" s="71">
        <f t="shared" si="59"/>
        <v>45683</v>
      </c>
      <c r="L146" s="98">
        <f t="shared" si="60"/>
        <v>45684</v>
      </c>
      <c r="M146" s="68">
        <f t="shared" si="61"/>
        <v>45685</v>
      </c>
      <c r="N146" s="68">
        <f t="shared" si="62"/>
        <v>45686</v>
      </c>
      <c r="O146" s="68">
        <f t="shared" si="63"/>
        <v>45687</v>
      </c>
      <c r="P146" s="68">
        <f t="shared" si="64"/>
        <v>45688</v>
      </c>
      <c r="Q146" s="89">
        <f t="shared" si="65"/>
        <v>45689</v>
      </c>
      <c r="R146" s="82"/>
      <c r="AC146" s="46"/>
      <c r="AD146" s="46"/>
    </row>
    <row r="147" spans="1:30" x14ac:dyDescent="0.25">
      <c r="A147" s="50"/>
      <c r="B147" s="51"/>
      <c r="C147" s="111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45734</v>
      </c>
      <c r="G147" s="44" t="str">
        <f t="shared" si="69"/>
        <v/>
      </c>
      <c r="H147" s="111">
        <f t="shared" si="66"/>
        <v>21162.600000000006</v>
      </c>
      <c r="I147" s="111"/>
      <c r="J147" s="65" t="s">
        <v>62</v>
      </c>
      <c r="K147" s="58">
        <f t="shared" si="59"/>
        <v>45690</v>
      </c>
      <c r="L147" s="60">
        <f t="shared" si="60"/>
        <v>45691</v>
      </c>
      <c r="M147" s="60">
        <f t="shared" si="61"/>
        <v>45692</v>
      </c>
      <c r="N147" s="60">
        <f t="shared" si="62"/>
        <v>45693</v>
      </c>
      <c r="O147" s="60">
        <f t="shared" si="63"/>
        <v>45694</v>
      </c>
      <c r="P147" s="96">
        <f t="shared" si="64"/>
        <v>45695</v>
      </c>
      <c r="Q147" s="97">
        <f t="shared" si="65"/>
        <v>45696</v>
      </c>
      <c r="R147" s="82"/>
      <c r="AC147" s="46"/>
      <c r="AD147" s="46"/>
    </row>
    <row r="148" spans="1:30" x14ac:dyDescent="0.25">
      <c r="A148" s="50"/>
      <c r="B148" s="82"/>
      <c r="C148" s="111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45735</v>
      </c>
      <c r="G148" s="44" t="str">
        <f t="shared" si="69"/>
        <v/>
      </c>
      <c r="H148" s="111">
        <f t="shared" si="66"/>
        <v>21162.600000000006</v>
      </c>
      <c r="I148" s="111"/>
      <c r="J148" s="65"/>
      <c r="K148" s="63">
        <f t="shared" si="59"/>
        <v>45697</v>
      </c>
      <c r="L148" s="94">
        <f t="shared" si="60"/>
        <v>45698</v>
      </c>
      <c r="M148" s="65">
        <f t="shared" si="61"/>
        <v>45699</v>
      </c>
      <c r="N148" s="65">
        <f t="shared" si="62"/>
        <v>45700</v>
      </c>
      <c r="O148" s="65">
        <f t="shared" si="63"/>
        <v>45701</v>
      </c>
      <c r="P148" s="65">
        <f t="shared" si="64"/>
        <v>45702</v>
      </c>
      <c r="Q148" s="88">
        <f t="shared" si="65"/>
        <v>45703</v>
      </c>
      <c r="R148" s="82"/>
      <c r="AC148" s="46"/>
      <c r="AD148" s="46"/>
    </row>
    <row r="149" spans="1:30" x14ac:dyDescent="0.25">
      <c r="A149" s="41"/>
      <c r="B149" s="51"/>
      <c r="C149" s="111"/>
      <c r="E149" s="43">
        <f t="shared" si="67"/>
        <v>5</v>
      </c>
      <c r="F149" s="41">
        <f t="shared" si="56"/>
        <v>45736</v>
      </c>
      <c r="G149" s="44" t="str">
        <f t="shared" si="69"/>
        <v>AMEX</v>
      </c>
      <c r="H149" s="111">
        <f t="shared" si="66"/>
        <v>20862.600000000006</v>
      </c>
      <c r="I149" s="111"/>
      <c r="J149" s="65"/>
      <c r="K149" s="63">
        <f t="shared" si="59"/>
        <v>45704</v>
      </c>
      <c r="L149" s="65">
        <f t="shared" si="60"/>
        <v>45705</v>
      </c>
      <c r="M149" s="65">
        <f t="shared" si="61"/>
        <v>45706</v>
      </c>
      <c r="N149" s="65">
        <f t="shared" si="62"/>
        <v>45707</v>
      </c>
      <c r="O149" s="65">
        <f t="shared" si="63"/>
        <v>45708</v>
      </c>
      <c r="P149" s="95">
        <f t="shared" si="64"/>
        <v>45709</v>
      </c>
      <c r="Q149" s="88">
        <f t="shared" si="65"/>
        <v>45710</v>
      </c>
      <c r="R149" s="82"/>
    </row>
    <row r="150" spans="1:30" ht="15.75" thickBot="1" x14ac:dyDescent="0.3">
      <c r="A150" s="41"/>
      <c r="B150" s="48"/>
      <c r="C150" s="111"/>
      <c r="E150" s="43">
        <f t="shared" si="67"/>
        <v>6</v>
      </c>
      <c r="F150" s="41">
        <f t="shared" si="56"/>
        <v>45737</v>
      </c>
      <c r="G150" s="44" t="str">
        <f t="shared" si="69"/>
        <v>Paycheck</v>
      </c>
      <c r="H150" s="111">
        <f t="shared" si="66"/>
        <v>23775.160000000007</v>
      </c>
      <c r="I150" s="111"/>
      <c r="J150" s="65"/>
      <c r="K150" s="71">
        <f t="shared" si="59"/>
        <v>45711</v>
      </c>
      <c r="L150" s="98">
        <f t="shared" si="60"/>
        <v>45712</v>
      </c>
      <c r="M150" s="68">
        <f t="shared" si="61"/>
        <v>45713</v>
      </c>
      <c r="N150" s="68">
        <f t="shared" si="62"/>
        <v>45714</v>
      </c>
      <c r="O150" s="68">
        <f t="shared" si="63"/>
        <v>45715</v>
      </c>
      <c r="P150" s="68">
        <f t="shared" si="64"/>
        <v>45716</v>
      </c>
      <c r="Q150" s="89">
        <f t="shared" si="65"/>
        <v>45717</v>
      </c>
      <c r="R150" s="82"/>
    </row>
    <row r="151" spans="1:30" x14ac:dyDescent="0.25">
      <c r="A151" s="41"/>
      <c r="B151" s="42"/>
      <c r="C151" s="111"/>
      <c r="E151" s="43">
        <f t="shared" si="67"/>
        <v>7</v>
      </c>
      <c r="F151" s="41">
        <f t="shared" si="56"/>
        <v>45738</v>
      </c>
      <c r="G151" s="44" t="str">
        <f t="shared" si="69"/>
        <v/>
      </c>
      <c r="H151" s="111">
        <f t="shared" si="66"/>
        <v>23775.160000000007</v>
      </c>
      <c r="I151" s="111"/>
      <c r="J151" s="65" t="s">
        <v>63</v>
      </c>
      <c r="K151" s="58">
        <f t="shared" si="59"/>
        <v>45718</v>
      </c>
      <c r="L151" s="60">
        <f t="shared" si="60"/>
        <v>45719</v>
      </c>
      <c r="M151" s="60">
        <f t="shared" si="61"/>
        <v>45720</v>
      </c>
      <c r="N151" s="60">
        <f t="shared" si="62"/>
        <v>45721</v>
      </c>
      <c r="O151" s="60">
        <f t="shared" si="63"/>
        <v>45722</v>
      </c>
      <c r="P151" s="96">
        <f t="shared" si="64"/>
        <v>45723</v>
      </c>
      <c r="Q151" s="97">
        <f t="shared" si="65"/>
        <v>45724</v>
      </c>
      <c r="R151" s="82"/>
    </row>
    <row r="152" spans="1:30" x14ac:dyDescent="0.25">
      <c r="A152" s="102"/>
      <c r="B152" s="42"/>
      <c r="C152" s="111"/>
      <c r="E152" s="43">
        <f t="shared" si="67"/>
        <v>1</v>
      </c>
      <c r="F152" s="41">
        <f t="shared" si="56"/>
        <v>45739</v>
      </c>
      <c r="G152" s="44" t="str">
        <f t="shared" si="69"/>
        <v/>
      </c>
      <c r="H152" s="111">
        <f t="shared" si="66"/>
        <v>23775.160000000007</v>
      </c>
      <c r="I152" s="111"/>
      <c r="J152" s="65"/>
      <c r="K152" s="63">
        <f t="shared" si="59"/>
        <v>45725</v>
      </c>
      <c r="L152" s="94">
        <f t="shared" si="60"/>
        <v>45726</v>
      </c>
      <c r="M152" s="65">
        <f t="shared" si="61"/>
        <v>45727</v>
      </c>
      <c r="N152" s="65">
        <f t="shared" si="62"/>
        <v>45728</v>
      </c>
      <c r="O152" s="65">
        <f t="shared" si="63"/>
        <v>45729</v>
      </c>
      <c r="P152" s="65">
        <f t="shared" si="64"/>
        <v>45730</v>
      </c>
      <c r="Q152" s="88">
        <f t="shared" si="65"/>
        <v>45731</v>
      </c>
      <c r="R152" s="82"/>
    </row>
    <row r="153" spans="1:30" x14ac:dyDescent="0.25">
      <c r="A153" s="86"/>
      <c r="B153" s="51"/>
      <c r="C153" s="111"/>
      <c r="E153" s="43">
        <f t="shared" si="67"/>
        <v>2</v>
      </c>
      <c r="F153" s="41">
        <f t="shared" si="56"/>
        <v>45740</v>
      </c>
      <c r="G153" s="44" t="str">
        <f t="shared" si="69"/>
        <v>Clean</v>
      </c>
      <c r="H153" s="111">
        <f t="shared" si="66"/>
        <v>23665.160000000007</v>
      </c>
      <c r="I153" s="111"/>
      <c r="J153" s="65"/>
      <c r="K153" s="63">
        <f t="shared" si="59"/>
        <v>45732</v>
      </c>
      <c r="L153" s="65">
        <f t="shared" si="60"/>
        <v>45733</v>
      </c>
      <c r="M153" s="65">
        <f t="shared" si="61"/>
        <v>45734</v>
      </c>
      <c r="N153" s="65">
        <f t="shared" si="62"/>
        <v>45735</v>
      </c>
      <c r="O153" s="65">
        <f t="shared" si="63"/>
        <v>45736</v>
      </c>
      <c r="P153" s="95">
        <f t="shared" si="64"/>
        <v>45737</v>
      </c>
      <c r="Q153" s="88">
        <f t="shared" si="65"/>
        <v>45738</v>
      </c>
      <c r="R153" s="82"/>
    </row>
    <row r="154" spans="1:30" ht="15.75" thickBot="1" x14ac:dyDescent="0.3">
      <c r="A154" s="41"/>
      <c r="B154" s="51"/>
      <c r="C154" s="111"/>
      <c r="E154" s="43">
        <f t="shared" si="67"/>
        <v>3</v>
      </c>
      <c r="F154" s="41">
        <f t="shared" si="56"/>
        <v>45741</v>
      </c>
      <c r="G154" s="44" t="str">
        <f t="shared" ref="G154:G164" si="70">LookUpConcat(F154,Dates,TDesc,", ")</f>
        <v/>
      </c>
      <c r="H154" s="111">
        <f t="shared" si="66"/>
        <v>23665.160000000007</v>
      </c>
      <c r="I154" s="111"/>
      <c r="J154" s="65"/>
      <c r="K154" s="71">
        <f t="shared" si="59"/>
        <v>45739</v>
      </c>
      <c r="L154" s="98">
        <f t="shared" si="60"/>
        <v>45740</v>
      </c>
      <c r="M154" s="68">
        <f t="shared" si="61"/>
        <v>45741</v>
      </c>
      <c r="N154" s="68">
        <f t="shared" si="62"/>
        <v>45742</v>
      </c>
      <c r="O154" s="68">
        <f t="shared" si="63"/>
        <v>45743</v>
      </c>
      <c r="P154" s="68">
        <f t="shared" si="64"/>
        <v>45744</v>
      </c>
      <c r="Q154" s="89">
        <f t="shared" si="65"/>
        <v>45745</v>
      </c>
      <c r="R154" s="82"/>
    </row>
    <row r="155" spans="1:30" x14ac:dyDescent="0.25">
      <c r="A155" s="41"/>
      <c r="B155" s="51"/>
      <c r="C155" s="111"/>
      <c r="E155" s="43">
        <f t="shared" si="67"/>
        <v>4</v>
      </c>
      <c r="F155" s="41">
        <f t="shared" si="56"/>
        <v>45742</v>
      </c>
      <c r="G155" s="44" t="str">
        <f t="shared" si="70"/>
        <v>IIS</v>
      </c>
      <c r="H155" s="111">
        <f t="shared" si="66"/>
        <v>24892.160000000007</v>
      </c>
      <c r="I155" s="111"/>
      <c r="J155" s="65" t="s">
        <v>52</v>
      </c>
      <c r="K155" s="58">
        <f t="shared" si="59"/>
        <v>45746</v>
      </c>
      <c r="L155" s="60">
        <f t="shared" si="60"/>
        <v>45747</v>
      </c>
      <c r="M155" s="60">
        <f t="shared" si="61"/>
        <v>45748</v>
      </c>
      <c r="N155" s="60">
        <f t="shared" si="62"/>
        <v>45749</v>
      </c>
      <c r="O155" s="60">
        <f t="shared" si="63"/>
        <v>45750</v>
      </c>
      <c r="P155" s="96">
        <f t="shared" si="64"/>
        <v>45751</v>
      </c>
      <c r="Q155" s="97">
        <f t="shared" si="65"/>
        <v>45752</v>
      </c>
      <c r="R155" s="82"/>
    </row>
    <row r="156" spans="1:30" x14ac:dyDescent="0.25">
      <c r="A156" s="41"/>
      <c r="B156" s="42"/>
      <c r="C156" s="111"/>
      <c r="E156" s="43">
        <f t="shared" si="67"/>
        <v>5</v>
      </c>
      <c r="F156" s="41">
        <f t="shared" si="56"/>
        <v>45743</v>
      </c>
      <c r="G156" s="44" t="str">
        <f t="shared" si="70"/>
        <v/>
      </c>
      <c r="H156" s="111">
        <f t="shared" si="66"/>
        <v>24892.160000000007</v>
      </c>
      <c r="I156" s="111"/>
      <c r="J156" s="65"/>
      <c r="K156" s="63">
        <f t="shared" si="59"/>
        <v>45753</v>
      </c>
      <c r="L156" s="94">
        <f t="shared" si="60"/>
        <v>45754</v>
      </c>
      <c r="M156" s="65">
        <f t="shared" si="61"/>
        <v>45755</v>
      </c>
      <c r="N156" s="65">
        <f t="shared" si="62"/>
        <v>45756</v>
      </c>
      <c r="O156" s="65">
        <f t="shared" si="63"/>
        <v>45757</v>
      </c>
      <c r="P156" s="65">
        <f t="shared" si="64"/>
        <v>45758</v>
      </c>
      <c r="Q156" s="88">
        <f t="shared" si="65"/>
        <v>45759</v>
      </c>
      <c r="R156" s="82"/>
    </row>
    <row r="157" spans="1:30" x14ac:dyDescent="0.25">
      <c r="A157" s="41"/>
      <c r="B157" s="67"/>
      <c r="C157" s="111"/>
      <c r="E157" s="43">
        <f t="shared" si="67"/>
        <v>6</v>
      </c>
      <c r="F157" s="41">
        <f t="shared" si="56"/>
        <v>45744</v>
      </c>
      <c r="G157" s="44" t="str">
        <f t="shared" si="70"/>
        <v>Gas, Power</v>
      </c>
      <c r="H157" s="111">
        <f t="shared" si="66"/>
        <v>24752.160000000007</v>
      </c>
      <c r="I157" s="111"/>
      <c r="K157" s="63">
        <f t="shared" si="59"/>
        <v>45760</v>
      </c>
      <c r="L157" s="65">
        <f t="shared" si="60"/>
        <v>45761</v>
      </c>
      <c r="M157" s="65">
        <f t="shared" si="61"/>
        <v>45762</v>
      </c>
      <c r="N157" s="65">
        <f t="shared" si="62"/>
        <v>45763</v>
      </c>
      <c r="O157" s="65">
        <f t="shared" si="63"/>
        <v>45764</v>
      </c>
      <c r="P157" s="95">
        <f t="shared" si="64"/>
        <v>45765</v>
      </c>
      <c r="Q157" s="88">
        <f t="shared" si="65"/>
        <v>45766</v>
      </c>
    </row>
    <row r="158" spans="1:30" ht="15.75" thickBot="1" x14ac:dyDescent="0.3">
      <c r="A158" s="50"/>
      <c r="B158" s="42"/>
      <c r="C158" s="111"/>
      <c r="E158" s="43">
        <f t="shared" si="67"/>
        <v>7</v>
      </c>
      <c r="F158" s="41">
        <f t="shared" si="56"/>
        <v>45745</v>
      </c>
      <c r="G158" s="44" t="str">
        <f t="shared" si="70"/>
        <v/>
      </c>
      <c r="H158" s="111">
        <f t="shared" si="66"/>
        <v>24752.160000000007</v>
      </c>
      <c r="I158" s="111"/>
      <c r="K158" s="71">
        <f t="shared" si="59"/>
        <v>45767</v>
      </c>
      <c r="L158" s="98">
        <f t="shared" si="60"/>
        <v>45768</v>
      </c>
      <c r="M158" s="68">
        <f t="shared" si="61"/>
        <v>45769</v>
      </c>
      <c r="N158" s="68">
        <f t="shared" si="62"/>
        <v>45770</v>
      </c>
      <c r="O158" s="68">
        <f t="shared" si="63"/>
        <v>45771</v>
      </c>
      <c r="P158" s="68">
        <f t="shared" si="64"/>
        <v>45772</v>
      </c>
      <c r="Q158" s="89">
        <f t="shared" si="65"/>
        <v>45773</v>
      </c>
    </row>
    <row r="159" spans="1:30" x14ac:dyDescent="0.25">
      <c r="A159" s="41"/>
      <c r="B159" s="42"/>
      <c r="C159" s="111"/>
      <c r="E159" s="43">
        <f t="shared" si="67"/>
        <v>1</v>
      </c>
      <c r="F159" s="41">
        <f t="shared" si="56"/>
        <v>45746</v>
      </c>
      <c r="G159" s="44" t="str">
        <f t="shared" si="70"/>
        <v/>
      </c>
      <c r="H159" s="111">
        <f t="shared" si="66"/>
        <v>24752.160000000007</v>
      </c>
      <c r="I159" s="111"/>
    </row>
    <row r="160" spans="1:30" x14ac:dyDescent="0.25">
      <c r="A160" s="41"/>
      <c r="B160" s="51"/>
      <c r="C160" s="111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45747</v>
      </c>
      <c r="G160" s="44" t="str">
        <f t="shared" si="70"/>
        <v/>
      </c>
      <c r="H160" s="111">
        <f t="shared" si="66"/>
        <v>24752.160000000007</v>
      </c>
      <c r="I160" s="111"/>
    </row>
    <row r="161" spans="1:10" x14ac:dyDescent="0.25">
      <c r="A161" s="41"/>
      <c r="B161" s="42"/>
      <c r="C161" s="111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45748</v>
      </c>
      <c r="G161" s="44" t="str">
        <f t="shared" si="70"/>
        <v>Rent</v>
      </c>
      <c r="H161" s="111">
        <f t="shared" si="66"/>
        <v>23702.160000000007</v>
      </c>
      <c r="I161" s="111"/>
    </row>
    <row r="162" spans="1:10" x14ac:dyDescent="0.25">
      <c r="A162" s="50"/>
      <c r="B162" s="51"/>
      <c r="C162" s="111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45749</v>
      </c>
      <c r="G162" s="44" t="str">
        <f t="shared" si="70"/>
        <v/>
      </c>
      <c r="H162" s="111">
        <f t="shared" si="66"/>
        <v>23702.160000000007</v>
      </c>
      <c r="I162" s="111"/>
    </row>
    <row r="163" spans="1:10" x14ac:dyDescent="0.25">
      <c r="A163" s="41"/>
      <c r="B163" s="64"/>
      <c r="C163" s="111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45750</v>
      </c>
      <c r="G163" s="44" t="str">
        <f t="shared" si="70"/>
        <v/>
      </c>
      <c r="H163" s="111">
        <f t="shared" si="66"/>
        <v>23702.160000000007</v>
      </c>
      <c r="I163" s="111"/>
    </row>
    <row r="164" spans="1:10" x14ac:dyDescent="0.25">
      <c r="A164" s="41"/>
      <c r="B164" s="42"/>
      <c r="C164" s="111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45751</v>
      </c>
      <c r="G164" s="44" t="str">
        <f t="shared" si="70"/>
        <v>Paycheck</v>
      </c>
      <c r="H164" s="111">
        <f t="shared" ref="H164:H171" si="71">H163+SUMIF(Dates,F164,TAMTS)</f>
        <v>26614.720000000008</v>
      </c>
      <c r="I164" s="111"/>
    </row>
    <row r="165" spans="1:10" x14ac:dyDescent="0.25">
      <c r="A165" s="41"/>
      <c r="B165" s="51"/>
      <c r="C165" s="111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45752</v>
      </c>
      <c r="G165" s="44" t="str">
        <f>LookUpConcat(F165,Dates,TDesc,", ")</f>
        <v/>
      </c>
      <c r="H165" s="111">
        <f t="shared" si="71"/>
        <v>26614.720000000008</v>
      </c>
      <c r="I165" s="111"/>
    </row>
    <row r="166" spans="1:10" x14ac:dyDescent="0.25">
      <c r="A166" s="50"/>
      <c r="B166" s="51"/>
      <c r="C166" s="111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45753</v>
      </c>
      <c r="G166" s="44" t="str">
        <f t="shared" ref="G166:G171" si="72">LookUpConcat(F166,Dates,TDesc,", ")</f>
        <v/>
      </c>
      <c r="H166" s="111">
        <f t="shared" si="71"/>
        <v>26614.720000000008</v>
      </c>
      <c r="I166" s="111"/>
    </row>
    <row r="167" spans="1:10" ht="15.75" customHeight="1" x14ac:dyDescent="0.25">
      <c r="A167" s="41"/>
      <c r="B167" s="82"/>
      <c r="C167" s="111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45754</v>
      </c>
      <c r="G167" s="44" t="str">
        <f t="shared" si="72"/>
        <v>Tmobile, Clean</v>
      </c>
      <c r="H167" s="111">
        <f t="shared" si="71"/>
        <v>26234.720000000008</v>
      </c>
      <c r="I167" s="111"/>
    </row>
    <row r="168" spans="1:10" x14ac:dyDescent="0.25">
      <c r="A168" s="50"/>
      <c r="B168" s="67"/>
      <c r="C168" s="111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45755</v>
      </c>
      <c r="G168" s="44" t="str">
        <f t="shared" si="72"/>
        <v/>
      </c>
      <c r="H168" s="111">
        <f t="shared" si="71"/>
        <v>26234.720000000008</v>
      </c>
      <c r="I168" s="111"/>
    </row>
    <row r="169" spans="1:10" x14ac:dyDescent="0.25">
      <c r="A169" s="41"/>
      <c r="B169" s="51"/>
      <c r="C169" s="111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45756</v>
      </c>
      <c r="G169" s="44" t="str">
        <f t="shared" si="72"/>
        <v/>
      </c>
      <c r="H169" s="111">
        <f t="shared" si="71"/>
        <v>26234.720000000008</v>
      </c>
      <c r="I169" s="111"/>
      <c r="J169" s="82"/>
    </row>
    <row r="170" spans="1:10" x14ac:dyDescent="0.25">
      <c r="A170" s="86"/>
      <c r="B170" s="51"/>
      <c r="C170" s="111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45757</v>
      </c>
      <c r="G170" s="44" t="str">
        <f t="shared" si="72"/>
        <v>Water, Sewer, City, Amazon</v>
      </c>
      <c r="H170" s="111">
        <f t="shared" si="71"/>
        <v>25958.720000000008</v>
      </c>
      <c r="I170" s="111"/>
      <c r="J170" s="82"/>
    </row>
    <row r="171" spans="1:10" x14ac:dyDescent="0.25">
      <c r="A171" s="86"/>
      <c r="B171" s="42"/>
      <c r="C171" s="111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45758</v>
      </c>
      <c r="G171" s="44" t="str">
        <f t="shared" si="72"/>
        <v/>
      </c>
      <c r="H171" s="111">
        <f t="shared" si="71"/>
        <v>25958.720000000008</v>
      </c>
      <c r="I171" s="111"/>
      <c r="J171" s="82"/>
    </row>
    <row r="172" spans="1:10" x14ac:dyDescent="0.25">
      <c r="A172" s="41"/>
      <c r="B172" s="51"/>
      <c r="C172" s="111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45759</v>
      </c>
      <c r="G172" s="44" t="str">
        <f t="shared" ref="G172:G190" si="73">LookUpConcat(F172,Dates,TDesc,", ")</f>
        <v>Car</v>
      </c>
      <c r="H172" s="111">
        <f t="shared" ref="H172:H190" si="74">H171+SUMIF(Dates,F172,TAMTS)</f>
        <v>25483.720000000008</v>
      </c>
      <c r="J172" s="82"/>
    </row>
    <row r="173" spans="1:10" x14ac:dyDescent="0.25">
      <c r="A173" s="41"/>
      <c r="B173" s="42"/>
      <c r="C173" s="111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45760</v>
      </c>
      <c r="G173" s="44" t="str">
        <f t="shared" si="73"/>
        <v>Paypal</v>
      </c>
      <c r="H173" s="111">
        <f t="shared" si="74"/>
        <v>24553.720000000008</v>
      </c>
      <c r="J173" s="82"/>
    </row>
    <row r="174" spans="1:10" x14ac:dyDescent="0.25">
      <c r="A174" s="49"/>
      <c r="B174" s="82"/>
      <c r="C174" s="111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45761</v>
      </c>
      <c r="G174" s="44" t="str">
        <f t="shared" si="73"/>
        <v>StateFarm</v>
      </c>
      <c r="H174" s="111">
        <f t="shared" si="74"/>
        <v>24448.720000000008</v>
      </c>
      <c r="J174" s="82"/>
    </row>
    <row r="175" spans="1:10" x14ac:dyDescent="0.25">
      <c r="A175" s="41"/>
      <c r="B175" s="42"/>
      <c r="C175" s="111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45762</v>
      </c>
      <c r="G175" s="44" t="str">
        <f t="shared" si="73"/>
        <v>NWM/IRA</v>
      </c>
      <c r="H175" s="111">
        <f t="shared" si="74"/>
        <v>23508.720000000008</v>
      </c>
      <c r="J175" s="82"/>
    </row>
    <row r="176" spans="1:10" x14ac:dyDescent="0.25">
      <c r="A176" s="50"/>
      <c r="B176" s="51"/>
      <c r="C176" s="111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45763</v>
      </c>
      <c r="G176" s="44" t="str">
        <f t="shared" si="73"/>
        <v/>
      </c>
      <c r="H176" s="111">
        <f t="shared" si="74"/>
        <v>23508.720000000008</v>
      </c>
      <c r="J176" s="82"/>
    </row>
    <row r="177" spans="1:17" x14ac:dyDescent="0.25">
      <c r="A177" s="41"/>
      <c r="B177" s="42"/>
      <c r="C177" s="111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45764</v>
      </c>
      <c r="G177" s="44" t="str">
        <f t="shared" si="73"/>
        <v/>
      </c>
      <c r="H177" s="111">
        <f t="shared" si="74"/>
        <v>23508.720000000008</v>
      </c>
      <c r="J177" s="82"/>
    </row>
    <row r="178" spans="1:17" x14ac:dyDescent="0.25">
      <c r="A178" s="41"/>
      <c r="B178" s="51"/>
      <c r="C178" s="111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45765</v>
      </c>
      <c r="G178" s="44" t="str">
        <f t="shared" si="73"/>
        <v>Paycheck</v>
      </c>
      <c r="H178" s="111">
        <f t="shared" si="74"/>
        <v>26421.28000000001</v>
      </c>
      <c r="J178" s="82"/>
    </row>
    <row r="179" spans="1:17" x14ac:dyDescent="0.25">
      <c r="A179" s="41"/>
      <c r="B179" s="82"/>
      <c r="C179" s="111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45766</v>
      </c>
      <c r="G179" s="44" t="str">
        <f t="shared" si="73"/>
        <v/>
      </c>
      <c r="H179" s="111">
        <f t="shared" si="74"/>
        <v>26421.28000000001</v>
      </c>
      <c r="J179" s="103"/>
    </row>
    <row r="180" spans="1:17" x14ac:dyDescent="0.25">
      <c r="A180" s="50"/>
      <c r="B180" s="67"/>
      <c r="C180" s="111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45767</v>
      </c>
      <c r="G180" s="44" t="str">
        <f t="shared" si="73"/>
        <v>AMEX</v>
      </c>
      <c r="H180" s="111">
        <f t="shared" si="74"/>
        <v>26121.28000000001</v>
      </c>
      <c r="J180" s="82"/>
    </row>
    <row r="181" spans="1:17" x14ac:dyDescent="0.25">
      <c r="A181" s="41"/>
      <c r="B181" s="42"/>
      <c r="C181" s="111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45768</v>
      </c>
      <c r="G181" s="44" t="str">
        <f t="shared" si="73"/>
        <v>Fuel, Clean</v>
      </c>
      <c r="H181" s="111">
        <f t="shared" si="74"/>
        <v>25951.28000000001</v>
      </c>
      <c r="J181" s="82"/>
    </row>
    <row r="182" spans="1:17" x14ac:dyDescent="0.25">
      <c r="A182" s="50"/>
      <c r="B182" s="51"/>
      <c r="C182" s="111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45769</v>
      </c>
      <c r="G182" s="44" t="str">
        <f t="shared" si="73"/>
        <v/>
      </c>
      <c r="H182" s="111">
        <f t="shared" si="74"/>
        <v>25951.28000000001</v>
      </c>
      <c r="J182" s="82"/>
    </row>
    <row r="183" spans="1:17" x14ac:dyDescent="0.25">
      <c r="A183" s="41"/>
      <c r="B183" s="67"/>
      <c r="C183" s="111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45770</v>
      </c>
      <c r="G183" s="44" t="str">
        <f t="shared" si="73"/>
        <v>IIS</v>
      </c>
      <c r="H183" s="111">
        <f t="shared" si="74"/>
        <v>27178.28000000001</v>
      </c>
      <c r="J183" s="82"/>
    </row>
    <row r="184" spans="1:17" x14ac:dyDescent="0.25">
      <c r="A184" s="41"/>
      <c r="B184" s="51"/>
      <c r="C184" s="111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45771</v>
      </c>
      <c r="G184" s="44" t="str">
        <f t="shared" si="73"/>
        <v/>
      </c>
      <c r="H184" s="111">
        <f t="shared" si="74"/>
        <v>27178.28000000001</v>
      </c>
      <c r="J184" s="82"/>
    </row>
    <row r="185" spans="1:17" x14ac:dyDescent="0.25">
      <c r="A185" s="41"/>
      <c r="B185" s="42"/>
      <c r="C185" s="111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45772</v>
      </c>
      <c r="G185" s="44" t="str">
        <f t="shared" si="73"/>
        <v/>
      </c>
      <c r="H185" s="111">
        <f t="shared" si="74"/>
        <v>27178.28000000001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11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45773</v>
      </c>
      <c r="G186" s="44" t="str">
        <f t="shared" si="73"/>
        <v/>
      </c>
      <c r="H186" s="111">
        <f t="shared" si="74"/>
        <v>27178.28000000001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11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45774</v>
      </c>
      <c r="G187" s="44" t="str">
        <f t="shared" si="73"/>
        <v/>
      </c>
      <c r="H187" s="111">
        <f t="shared" si="74"/>
        <v>27178.28000000001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11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45775</v>
      </c>
      <c r="G188" s="44" t="str">
        <f t="shared" si="73"/>
        <v>Gas, Power</v>
      </c>
      <c r="H188" s="111">
        <f t="shared" si="74"/>
        <v>27038.28000000001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11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45776</v>
      </c>
      <c r="G189" s="44" t="str">
        <f t="shared" si="73"/>
        <v/>
      </c>
      <c r="H189" s="111">
        <f t="shared" si="74"/>
        <v>27038.28000000001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11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45777</v>
      </c>
      <c r="G190" s="44" t="str">
        <f t="shared" si="73"/>
        <v/>
      </c>
      <c r="H190" s="111">
        <f t="shared" si="74"/>
        <v>27038.28000000001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11"/>
      <c r="F191" s="41"/>
      <c r="G191" s="44"/>
      <c r="H191" s="111"/>
    </row>
    <row r="192" spans="1:17" x14ac:dyDescent="0.25">
      <c r="A192" s="41"/>
      <c r="B192" s="48"/>
      <c r="C192" s="111"/>
      <c r="F192" s="41"/>
      <c r="G192" s="44"/>
      <c r="H192" s="111"/>
    </row>
    <row r="193" spans="1:8" x14ac:dyDescent="0.25">
      <c r="A193" s="41"/>
      <c r="B193" s="48"/>
      <c r="C193" s="111"/>
      <c r="F193" s="41"/>
      <c r="G193" s="44"/>
      <c r="H193" s="111"/>
    </row>
    <row r="194" spans="1:8" x14ac:dyDescent="0.25">
      <c r="A194" s="41"/>
      <c r="B194" s="48"/>
      <c r="C194" s="111"/>
      <c r="F194" s="41"/>
      <c r="G194" s="44"/>
      <c r="H194" s="111"/>
    </row>
    <row r="195" spans="1:8" x14ac:dyDescent="0.25">
      <c r="A195" s="41"/>
      <c r="B195" s="48"/>
      <c r="C195" s="111"/>
    </row>
    <row r="196" spans="1:8" x14ac:dyDescent="0.25">
      <c r="A196" s="41"/>
      <c r="B196" s="48"/>
      <c r="C196" s="111"/>
    </row>
    <row r="197" spans="1:8" x14ac:dyDescent="0.25">
      <c r="A197" s="41"/>
      <c r="C197" s="111"/>
    </row>
    <row r="198" spans="1:8" x14ac:dyDescent="0.25">
      <c r="A198" s="41"/>
      <c r="C198" s="111"/>
    </row>
    <row r="199" spans="1:8" x14ac:dyDescent="0.25">
      <c r="A199" s="41"/>
      <c r="C199" s="111"/>
    </row>
    <row r="200" spans="1:8" x14ac:dyDescent="0.25">
      <c r="A200" s="41"/>
      <c r="C200" s="111"/>
    </row>
    <row r="201" spans="1:8" x14ac:dyDescent="0.25">
      <c r="A201" s="41"/>
      <c r="C201" s="111"/>
    </row>
    <row r="202" spans="1:8" x14ac:dyDescent="0.25">
      <c r="A202" s="41"/>
      <c r="C202" s="111"/>
    </row>
    <row r="203" spans="1:8" x14ac:dyDescent="0.25">
      <c r="A203" s="41"/>
      <c r="C203" s="111"/>
    </row>
    <row r="204" spans="1:8" x14ac:dyDescent="0.25">
      <c r="A204" s="41"/>
      <c r="C204" s="111"/>
    </row>
    <row r="205" spans="1:8" x14ac:dyDescent="0.25">
      <c r="A205" s="41"/>
      <c r="C205" s="111"/>
    </row>
    <row r="206" spans="1:8" x14ac:dyDescent="0.25">
      <c r="A206" s="41"/>
      <c r="C206" s="111"/>
    </row>
    <row r="207" spans="1:8" x14ac:dyDescent="0.25">
      <c r="A207" s="41"/>
      <c r="C207" s="111"/>
    </row>
    <row r="208" spans="1:8" x14ac:dyDescent="0.25">
      <c r="A208" s="41"/>
      <c r="C208" s="111"/>
    </row>
    <row r="209" spans="1:3" x14ac:dyDescent="0.25">
      <c r="A209" s="41"/>
      <c r="C209" s="111"/>
    </row>
    <row r="210" spans="1:3" x14ac:dyDescent="0.25">
      <c r="A210" s="41"/>
      <c r="C210" s="111"/>
    </row>
    <row r="211" spans="1:3" x14ac:dyDescent="0.25">
      <c r="A211" s="41"/>
      <c r="C211" s="111"/>
    </row>
    <row r="212" spans="1:3" x14ac:dyDescent="0.25">
      <c r="A212" s="41"/>
      <c r="C212" s="111"/>
    </row>
    <row r="213" spans="1:3" x14ac:dyDescent="0.25">
      <c r="A213" s="41"/>
      <c r="C213" s="111"/>
    </row>
    <row r="214" spans="1:3" x14ac:dyDescent="0.25">
      <c r="A214" s="41"/>
      <c r="C214" s="111"/>
    </row>
    <row r="215" spans="1:3" x14ac:dyDescent="0.25">
      <c r="A215" s="41"/>
      <c r="C215" s="111"/>
    </row>
    <row r="216" spans="1:3" x14ac:dyDescent="0.25">
      <c r="A216" s="41"/>
      <c r="C216" s="111"/>
    </row>
    <row r="217" spans="1:3" x14ac:dyDescent="0.25">
      <c r="A217" s="41"/>
      <c r="C217" s="111"/>
    </row>
    <row r="218" spans="1:3" x14ac:dyDescent="0.25">
      <c r="A218" s="41"/>
      <c r="C218" s="111"/>
    </row>
    <row r="219" spans="1:3" x14ac:dyDescent="0.25">
      <c r="A219" s="41"/>
      <c r="C219" s="111"/>
    </row>
    <row r="220" spans="1:3" x14ac:dyDescent="0.25">
      <c r="A220" s="41"/>
      <c r="C220" s="111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1">
    <mergeCell ref="X50:Z50"/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</mergeCells>
  <conditionalFormatting sqref="A4:C180">
    <cfRule type="expression" dxfId="8" priority="5">
      <formula>$B4="clean"</formula>
    </cfRule>
    <cfRule type="expression" dxfId="7" priority="4">
      <formula>$B4="paycheck"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35</v>
      </c>
      <c r="E2" s="12">
        <v>29000</v>
      </c>
      <c r="F2" s="13" t="s">
        <v>33</v>
      </c>
      <c r="G2" s="12">
        <v>7500</v>
      </c>
      <c r="H2" s="13" t="s">
        <v>45</v>
      </c>
      <c r="I2" s="21">
        <v>14000</v>
      </c>
    </row>
    <row r="3" spans="1:26" ht="15.75" thickBot="1" x14ac:dyDescent="0.3">
      <c r="A3" s="7"/>
      <c r="B3" s="142" t="s">
        <v>49</v>
      </c>
      <c r="C3" s="143"/>
      <c r="D3" s="140" t="s">
        <v>47</v>
      </c>
      <c r="E3" s="141"/>
      <c r="F3" s="142" t="s">
        <v>48</v>
      </c>
      <c r="G3" s="143"/>
      <c r="H3" s="142" t="s">
        <v>50</v>
      </c>
      <c r="I3" s="143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51</v>
      </c>
      <c r="B1" s="1">
        <v>15000</v>
      </c>
      <c r="C1" s="27"/>
    </row>
    <row r="2" spans="1:3" x14ac:dyDescent="0.25">
      <c r="A2" s="28" t="s">
        <v>52</v>
      </c>
      <c r="B2" s="26">
        <v>4.4999999999999998E-2</v>
      </c>
      <c r="C2" s="1"/>
    </row>
    <row r="3" spans="1:3" x14ac:dyDescent="0.25">
      <c r="A3" s="28" t="s">
        <v>53</v>
      </c>
      <c r="B3" s="30">
        <v>5</v>
      </c>
      <c r="C3" s="1"/>
    </row>
    <row r="4" spans="1:3" x14ac:dyDescent="0.25">
      <c r="A4" s="28" t="s">
        <v>54</v>
      </c>
      <c r="B4" s="29">
        <v>365</v>
      </c>
      <c r="C4" s="1"/>
    </row>
    <row r="5" spans="1:3" x14ac:dyDescent="0.25">
      <c r="A5" s="28" t="s">
        <v>55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2024-10-26T16:19:22Z</dcterms:modified>
</cp:coreProperties>
</file>